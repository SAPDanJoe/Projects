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0" windowWidth="15315" windowHeight="12585" firstSheet="1" activeTab="1"/>
  </bookViews>
  <sheets>
    <sheet name="Sheet7" sheetId="7" r:id="rId1"/>
    <sheet name="Machine Swap Log" sheetId="3" r:id="rId2"/>
    <sheet name="Automatic ASM Sheet (SWAP)" sheetId="4" r:id="rId3"/>
    <sheet name="Manual ASM" sheetId="1" r:id="rId4"/>
    <sheet name="Ranges" sheetId="5" r:id="rId5"/>
    <sheet name="PC Inventory" sheetId="6" r:id="rId6"/>
  </sheets>
  <definedNames>
    <definedName name="Holds">Ranges!$C$2:$C$4</definedName>
    <definedName name="Models">Ranges!$A$2:$A$17</definedName>
    <definedName name="Technicians">Ranges!$B$2:$B$6</definedName>
  </definedNames>
  <calcPr calcId="145621"/>
</workbook>
</file>

<file path=xl/calcChain.xml><?xml version="1.0" encoding="utf-8"?>
<calcChain xmlns="http://schemas.openxmlformats.org/spreadsheetml/2006/main">
  <c r="O9" i="6" l="1"/>
  <c r="O8" i="6"/>
  <c r="O7" i="6"/>
  <c r="O6" i="6"/>
  <c r="O5" i="6"/>
  <c r="O4" i="6"/>
  <c r="O3" i="6"/>
  <c r="R15" i="1" l="1"/>
  <c r="R17" i="1" s="1"/>
  <c r="V3" i="3"/>
  <c r="M3" i="3"/>
  <c r="F19" i="4" l="1"/>
  <c r="R15" i="4"/>
  <c r="U3" i="3"/>
  <c r="O3" i="3"/>
  <c r="R3" i="3"/>
  <c r="Q3" i="3"/>
  <c r="N3" i="3"/>
  <c r="P3" i="3"/>
  <c r="S3" i="3"/>
  <c r="T3" i="3"/>
  <c r="I2" i="4" l="1"/>
  <c r="R17" i="4" s="1"/>
  <c r="O21" i="4"/>
  <c r="X19" i="4"/>
  <c r="P19" i="4"/>
  <c r="R11" i="4"/>
  <c r="R9" i="4"/>
  <c r="R7" i="4"/>
  <c r="R13" i="4" l="1"/>
</calcChain>
</file>

<file path=xl/sharedStrings.xml><?xml version="1.0" encoding="utf-8"?>
<sst xmlns="http://schemas.openxmlformats.org/spreadsheetml/2006/main" count="1300" uniqueCount="654">
  <si>
    <t>Term Hold</t>
  </si>
  <si>
    <t>Lit Hold</t>
  </si>
  <si>
    <t>5-Day Hold</t>
  </si>
  <si>
    <t>Yes/Confirmed</t>
  </si>
  <si>
    <t>No/Wipe Data</t>
  </si>
  <si>
    <t>ITDirect Case #</t>
  </si>
  <si>
    <t>User's I/C/D #</t>
  </si>
  <si>
    <t>Employee Name:</t>
  </si>
  <si>
    <t>Term Data:</t>
  </si>
  <si>
    <t>Recovery Date:</t>
  </si>
  <si>
    <t>Release Date:</t>
  </si>
  <si>
    <t>Model</t>
  </si>
  <si>
    <t>X220</t>
  </si>
  <si>
    <t>X230</t>
  </si>
  <si>
    <t>Model #</t>
  </si>
  <si>
    <t>Asset #</t>
  </si>
  <si>
    <t>S/N:</t>
  </si>
  <si>
    <t>Technician:</t>
  </si>
  <si>
    <t>T410</t>
  </si>
  <si>
    <t>T420</t>
  </si>
  <si>
    <t>T430</t>
  </si>
  <si>
    <t>T510</t>
  </si>
  <si>
    <t>T520</t>
  </si>
  <si>
    <t>T530</t>
  </si>
  <si>
    <t>MB Air</t>
  </si>
  <si>
    <t>MB Pro</t>
  </si>
  <si>
    <t>iMac</t>
  </si>
  <si>
    <t>Mac Mini</t>
  </si>
  <si>
    <t>Samsung</t>
  </si>
  <si>
    <t>Fujitsu</t>
  </si>
  <si>
    <t>iPad</t>
  </si>
  <si>
    <t>Dell</t>
  </si>
  <si>
    <t>Landon Von Gogh</t>
  </si>
  <si>
    <t>Teeha Harrell</t>
  </si>
  <si>
    <t>Dan-Joe Lopez</t>
  </si>
  <si>
    <t>Samantha Leach</t>
  </si>
  <si>
    <t>Anthony Dupre</t>
  </si>
  <si>
    <t>LIT Status:</t>
  </si>
  <si>
    <t>Pending</t>
  </si>
  <si>
    <t>Technician</t>
  </si>
  <si>
    <t>User ID</t>
  </si>
  <si>
    <t>User Name</t>
  </si>
  <si>
    <t>Case #</t>
  </si>
  <si>
    <t>Asset Returned</t>
  </si>
  <si>
    <t>Asset Issued</t>
  </si>
  <si>
    <t>Returned SN</t>
  </si>
  <si>
    <t>Issued SN</t>
  </si>
  <si>
    <t>A</t>
  </si>
  <si>
    <t>B</t>
  </si>
  <si>
    <t>C</t>
  </si>
  <si>
    <t>D</t>
  </si>
  <si>
    <t>E</t>
  </si>
  <si>
    <t>F</t>
  </si>
  <si>
    <t>G</t>
  </si>
  <si>
    <t>H</t>
  </si>
  <si>
    <t>User's ID</t>
  </si>
  <si>
    <t>User's Name</t>
  </si>
  <si>
    <t>I</t>
  </si>
  <si>
    <t>Models</t>
  </si>
  <si>
    <t>Technicians</t>
  </si>
  <si>
    <t>Holds</t>
  </si>
  <si>
    <t>I837633</t>
  </si>
  <si>
    <t>PBWAYX7</t>
  </si>
  <si>
    <t>QLWYFGX4</t>
  </si>
  <si>
    <t>Action Date</t>
  </si>
  <si>
    <t>J</t>
  </si>
  <si>
    <t>Asset Tag</t>
  </si>
  <si>
    <t>Serial Number</t>
  </si>
  <si>
    <t>MAC Address</t>
  </si>
  <si>
    <t>Inventory Location</t>
  </si>
  <si>
    <t>MAC Address Translation formula</t>
  </si>
  <si>
    <t>PBWBFX9</t>
  </si>
  <si>
    <t>00:21:CC:C3:BA:1E</t>
  </si>
  <si>
    <t>Assigned</t>
  </si>
  <si>
    <t>Input</t>
  </si>
  <si>
    <t>Result</t>
  </si>
  <si>
    <t>PBWAYK6</t>
  </si>
  <si>
    <t>00:21:CC:C3:DD:A0</t>
  </si>
  <si>
    <t>Re-Use</t>
  </si>
  <si>
    <t>0021CCC3F69F</t>
  </si>
  <si>
    <t>PBWAXM6</t>
  </si>
  <si>
    <t>00:21:CC:C3:CB:FF</t>
  </si>
  <si>
    <t>0021CCC3DF85</t>
  </si>
  <si>
    <t>PBWAXT1</t>
  </si>
  <si>
    <t>00:21:CC:C3:89:A9</t>
  </si>
  <si>
    <t>0021CCC3DF33</t>
  </si>
  <si>
    <t>PBWBEL6</t>
  </si>
  <si>
    <t>00:21:CC:C3:C5:46</t>
  </si>
  <si>
    <t>0021CCC29B12</t>
  </si>
  <si>
    <t>PBWAYD9</t>
  </si>
  <si>
    <t>00:21:CC:C3:C7:1C</t>
  </si>
  <si>
    <t>2C41384F9B56</t>
  </si>
  <si>
    <t>PBWBFZ0</t>
  </si>
  <si>
    <t>00:21:CC:C3:D8:91</t>
  </si>
  <si>
    <t>D89D67C6B3B8</t>
  </si>
  <si>
    <t>PBWBCA7</t>
  </si>
  <si>
    <t>00:21:CC:BE:23:B3</t>
  </si>
  <si>
    <t>Defect</t>
  </si>
  <si>
    <t>3C970E0167F8</t>
  </si>
  <si>
    <t>PBWBET5</t>
  </si>
  <si>
    <t>00:21:CC:C3:C6:87</t>
  </si>
  <si>
    <t>PBWBEN6</t>
  </si>
  <si>
    <t>00:21:CC:C3:C6:B2</t>
  </si>
  <si>
    <t>PBWBFL0</t>
  </si>
  <si>
    <t>00:21:CC:C3:99:6E</t>
  </si>
  <si>
    <t>PBWBFL4</t>
  </si>
  <si>
    <t>00:21:CC:C3:BE:C0</t>
  </si>
  <si>
    <t>PBWBFN7</t>
  </si>
  <si>
    <t>00:21:CC:C3:B3:97</t>
  </si>
  <si>
    <t>PBWBFW2</t>
  </si>
  <si>
    <t>00:21:CC:C3:E8:4D</t>
  </si>
  <si>
    <t>PBWBGA7</t>
  </si>
  <si>
    <t>00:21:CC:C3:BD:3F</t>
  </si>
  <si>
    <t>PBWBFX4</t>
  </si>
  <si>
    <t>00:21:CC:C3:BB:41</t>
  </si>
  <si>
    <t>PBWBFN1</t>
  </si>
  <si>
    <t>00:21:CC:C3:92:33</t>
  </si>
  <si>
    <t>PBWBFZ9</t>
  </si>
  <si>
    <t>00:21:CC:C3:BD:76</t>
  </si>
  <si>
    <t>5-Day</t>
  </si>
  <si>
    <t>PBWAXT3</t>
  </si>
  <si>
    <t>00:21:CC:C3:93:56</t>
  </si>
  <si>
    <t>R9PFHKK</t>
  </si>
  <si>
    <t>3C:97:0E:04:AE:73</t>
  </si>
  <si>
    <t>R9PFHL0</t>
  </si>
  <si>
    <t>3C:97:0E:04:AE:8C</t>
  </si>
  <si>
    <t>R9PFHGR</t>
  </si>
  <si>
    <t>3C:97:0E:04:AF:2E</t>
  </si>
  <si>
    <t>R9PFHKB</t>
  </si>
  <si>
    <t>F0:DE:F1:AC:89:BF</t>
  </si>
  <si>
    <t>R9PFHHZ</t>
  </si>
  <si>
    <t>3C:97:0E:04:AF:8E</t>
  </si>
  <si>
    <t>R9PFHFZ</t>
  </si>
  <si>
    <t>3C:97:0E:04:B0:59</t>
  </si>
  <si>
    <t>R9PFHH1</t>
  </si>
  <si>
    <t>3C:97:0E:04:AE:7E</t>
  </si>
  <si>
    <t>R9PFHK8</t>
  </si>
  <si>
    <t>3C:97:0E:04:AD:46</t>
  </si>
  <si>
    <t>PBWBXLG</t>
  </si>
  <si>
    <t>00:21:CC:C6:AF:DD</t>
  </si>
  <si>
    <t>PBWAXR8</t>
  </si>
  <si>
    <t>00:21:CC:C3:C9:CE</t>
  </si>
  <si>
    <t>PBWBGF1</t>
  </si>
  <si>
    <t>00:21:CC:C3:BB:98</t>
  </si>
  <si>
    <t>R9PFHH5</t>
  </si>
  <si>
    <t>3C:97:0E:04:AE:A8</t>
  </si>
  <si>
    <t>R9PFHFL</t>
  </si>
  <si>
    <t>3C:97:0E:04:AF:F2</t>
  </si>
  <si>
    <t>R9PF42E</t>
  </si>
  <si>
    <t>3C:97:0E:01:67:F5</t>
  </si>
  <si>
    <t>R9F14VF</t>
  </si>
  <si>
    <t>F0:DE:F1:FA:3C:08</t>
  </si>
  <si>
    <t>R9F14MP</t>
  </si>
  <si>
    <t>F0:DE:F1:77:F3:53</t>
  </si>
  <si>
    <t>R0PF42F</t>
  </si>
  <si>
    <t>3C:97:0E:01:67:F8</t>
  </si>
  <si>
    <t>R9VVDVZ</t>
  </si>
  <si>
    <t>3C:97:0E:55:2B:D8</t>
  </si>
  <si>
    <t>Loaner</t>
  </si>
  <si>
    <t>R9VVDVY</t>
  </si>
  <si>
    <t>3C:97:0E:55:2B:D9</t>
  </si>
  <si>
    <t>PBWAYC8</t>
  </si>
  <si>
    <t>00:21:CC:C3:CE:24</t>
  </si>
  <si>
    <t>00:21:CC:C3:F6:9F</t>
  </si>
  <si>
    <t>PRWAYE3</t>
  </si>
  <si>
    <t>00:21:CC:C3:DE:60</t>
  </si>
  <si>
    <t>PBWAXM7</t>
  </si>
  <si>
    <t>00:21:CC:C3:BF:B7</t>
  </si>
  <si>
    <t>PBWAYG3</t>
  </si>
  <si>
    <t>00:21:CC:C3:DE:03</t>
  </si>
  <si>
    <t>R9MP6XY</t>
  </si>
  <si>
    <t>F0:DE:F1:BA:BB:FB</t>
  </si>
  <si>
    <t>R9NA1PC</t>
  </si>
  <si>
    <t>F0:DE:F1:E6:D9:1B</t>
  </si>
  <si>
    <t>PBWAYL1</t>
  </si>
  <si>
    <t>00:21:CC:C3:F6:35</t>
  </si>
  <si>
    <t>PBWBEM9</t>
  </si>
  <si>
    <t>00:21:CC:C3:B6:4E</t>
  </si>
  <si>
    <t>PBWAYH8</t>
  </si>
  <si>
    <t>00:21:CC:C3:D3:61</t>
  </si>
  <si>
    <t>PBWBFP9</t>
  </si>
  <si>
    <t>00:21:CC:C3:98:E0</t>
  </si>
  <si>
    <t>PBWAYF8</t>
  </si>
  <si>
    <t>00:21:CC:C3:DF:DA</t>
  </si>
  <si>
    <t>Repair</t>
  </si>
  <si>
    <t>00:21:CC:C3:DF:85</t>
  </si>
  <si>
    <t>PBWAYK9</t>
  </si>
  <si>
    <t>00:21:CC:C3:DF:33</t>
  </si>
  <si>
    <t>PBWAXR0</t>
  </si>
  <si>
    <t>00:21:CC:C2:9B:12</t>
  </si>
  <si>
    <t>2C:41:38:4F:9B:56</t>
  </si>
  <si>
    <t>z820</t>
  </si>
  <si>
    <t>Re-Image</t>
  </si>
  <si>
    <t>D8:9D:67:C6:B3:B8</t>
  </si>
  <si>
    <t>PBWBEK9</t>
  </si>
  <si>
    <t>00:21:CC:C3:C4:DD</t>
  </si>
  <si>
    <t>PBWAXM4</t>
  </si>
  <si>
    <t>00:21:CC:C3:D7:AF</t>
  </si>
  <si>
    <t>PBWAYE8</t>
  </si>
  <si>
    <t>00:21:CC:C3:F7:EB</t>
  </si>
  <si>
    <t>PBWAYF2</t>
  </si>
  <si>
    <t>00:21:CC:C3:DF:83</t>
  </si>
  <si>
    <t>PBWDFM6</t>
  </si>
  <si>
    <t>00:21:CC:C3:C1:10</t>
  </si>
  <si>
    <t>PBWBFY0</t>
  </si>
  <si>
    <t>00:21:CC:C3:B2:D4</t>
  </si>
  <si>
    <t>PBWBFY3</t>
  </si>
  <si>
    <t>00:21:CC:C3:91:D9</t>
  </si>
  <si>
    <t>PBWAXX6</t>
  </si>
  <si>
    <t>00:21:CC:C3:BD:80</t>
  </si>
  <si>
    <t>PBWAXN1</t>
  </si>
  <si>
    <t>00:21:CC:C3:CA:9D</t>
  </si>
  <si>
    <t>PBWAXN5</t>
  </si>
  <si>
    <t>00:21:CC:C3:95:1C</t>
  </si>
  <si>
    <t>PBWBFX6</t>
  </si>
  <si>
    <t>00:21:CC:C3:87:49</t>
  </si>
  <si>
    <t>PBWBGD5</t>
  </si>
  <si>
    <t>00:21:CC:C3:BD:3E</t>
  </si>
  <si>
    <t>PBWBFX7</t>
  </si>
  <si>
    <t>00:21:CC:C3:95:8B</t>
  </si>
  <si>
    <t>PBWAYD7</t>
  </si>
  <si>
    <t>00:21:CC:C3:F4:06</t>
  </si>
  <si>
    <t>PBWBGC9</t>
  </si>
  <si>
    <t>00:21:CC:C3:89:AA</t>
  </si>
  <si>
    <t>PBWAYG4</t>
  </si>
  <si>
    <t>00:21:CC:C3:DF:46</t>
  </si>
  <si>
    <t>PBWAXT0</t>
  </si>
  <si>
    <t>00:21:CC:C3:97:60</t>
  </si>
  <si>
    <t>PBWAXR6</t>
  </si>
  <si>
    <t>00:21:CC:C3:C9:F1</t>
  </si>
  <si>
    <t>R9PFHG9</t>
  </si>
  <si>
    <t>3C:97:0E:04:AF:25</t>
  </si>
  <si>
    <t>PBWAYK7</t>
  </si>
  <si>
    <t>00:21:CC:C3:FD:AE</t>
  </si>
  <si>
    <t>PBWBGD2</t>
  </si>
  <si>
    <t>00:21:CC:C3:BA:01</t>
  </si>
  <si>
    <t>PBWBFT5</t>
  </si>
  <si>
    <t>00:21:CC:C3:CE:52</t>
  </si>
  <si>
    <t>Ship to LSC</t>
  </si>
  <si>
    <t>PBWBEP3</t>
  </si>
  <si>
    <t>00:21:CC:C3:C4:5C</t>
  </si>
  <si>
    <t>n/a</t>
  </si>
  <si>
    <t>t420</t>
  </si>
  <si>
    <t>PBWBFW5</t>
  </si>
  <si>
    <t>00:21:CC:C3:92:B6</t>
  </si>
  <si>
    <t>PBWAXP1</t>
  </si>
  <si>
    <t>00:21:CC:C3:97:C7</t>
  </si>
  <si>
    <t>PBWBFV6</t>
  </si>
  <si>
    <t>00:21:CC:C3:92:DC</t>
  </si>
  <si>
    <t>PBWAXR4</t>
  </si>
  <si>
    <t>00:21:CC:C3:C8:A7</t>
  </si>
  <si>
    <t>PBWBEN2</t>
  </si>
  <si>
    <t>00:21:CC:C3:C5:A9</t>
  </si>
  <si>
    <t>PBWBGF4</t>
  </si>
  <si>
    <t>00:21:CC:C3:92:63</t>
  </si>
  <si>
    <t>R9PFHHB</t>
  </si>
  <si>
    <t>3C:97:0E:04:B0:3F</t>
  </si>
  <si>
    <t>4290EF1</t>
  </si>
  <si>
    <t>3C:97:0E:04:AF:9F</t>
  </si>
  <si>
    <t>PBWAYK5</t>
  </si>
  <si>
    <t>00:21:CC:C3:E8:4F</t>
  </si>
  <si>
    <t>X420</t>
  </si>
  <si>
    <t>MJ41B94</t>
  </si>
  <si>
    <t>44:37:E6:BD:87:7B</t>
  </si>
  <si>
    <t>M92P</t>
  </si>
  <si>
    <t>Bench</t>
  </si>
  <si>
    <t>MJ41B96</t>
  </si>
  <si>
    <t>44:37:E6:BD:87:8F</t>
  </si>
  <si>
    <t>MJ41B97</t>
  </si>
  <si>
    <t>44:37:E6:BD:87:31</t>
  </si>
  <si>
    <t>MJ41B95</t>
  </si>
  <si>
    <t>44:37:E6:BD:87:53</t>
  </si>
  <si>
    <t>PBWAXW2</t>
  </si>
  <si>
    <t>00:21:CC:C3:97:0F</t>
  </si>
  <si>
    <t>PBWBFL6</t>
  </si>
  <si>
    <t>00:21:CC:C3:95:4A</t>
  </si>
  <si>
    <t>PBWAXN7</t>
  </si>
  <si>
    <t>00:21:CC:C3:97:63</t>
  </si>
  <si>
    <t>PBWBFN6</t>
  </si>
  <si>
    <t>00:21:CC:C3:98:59</t>
  </si>
  <si>
    <t>UNKNOWN</t>
  </si>
  <si>
    <t>F0:DE:F1:77:76:C0</t>
  </si>
  <si>
    <t>PBWAYA9</t>
  </si>
  <si>
    <t>00:21:CC:C3:F7:38</t>
  </si>
  <si>
    <t>PBAKRH7</t>
  </si>
  <si>
    <t>00:21:CC:BE:C5:EE</t>
  </si>
  <si>
    <t>PBWBFK1</t>
  </si>
  <si>
    <t>00:21:CC:C3:BB:F0</t>
  </si>
  <si>
    <t>5-day</t>
  </si>
  <si>
    <t>PBWAXM1</t>
  </si>
  <si>
    <t>00:21:CC:C3:C0:06</t>
  </si>
  <si>
    <t>PBWWAXP5</t>
  </si>
  <si>
    <t>00:21:CC:C3:B3:8B</t>
  </si>
  <si>
    <t>PBWAYK0</t>
  </si>
  <si>
    <t>00:21:CC:C3:F7:0D</t>
  </si>
  <si>
    <t>PBWBFT9</t>
  </si>
  <si>
    <t>00:21:CC:C3:D6:92</t>
  </si>
  <si>
    <t>PBWBET0</t>
  </si>
  <si>
    <t>00:21:CC:C3:C1:DF</t>
  </si>
  <si>
    <t>PBWAYL8</t>
  </si>
  <si>
    <t>00:21:CC:C3:DF:9C</t>
  </si>
  <si>
    <t>PBWBGD1</t>
  </si>
  <si>
    <t>00:21:CC:C3:9A:E2</t>
  </si>
  <si>
    <t>PBWAXY7</t>
  </si>
  <si>
    <t>00:21:CC:C3:BC:F6</t>
  </si>
  <si>
    <t>PBAKRG1</t>
  </si>
  <si>
    <t>00:21:CC:BE:E2:13</t>
  </si>
  <si>
    <t>PBWAXR2</t>
  </si>
  <si>
    <t>00:21:CC:C3:BF:61</t>
  </si>
  <si>
    <t>PBWBEP6</t>
  </si>
  <si>
    <t>00:21:CC:C3:C4:8A</t>
  </si>
  <si>
    <t>PBWBGD3</t>
  </si>
  <si>
    <t>00:21:CC:C3:BA:5E</t>
  </si>
  <si>
    <t>PBWBFG2</t>
  </si>
  <si>
    <t>00:21:CC:C3:BC:9D</t>
  </si>
  <si>
    <t>PBWBGA4</t>
  </si>
  <si>
    <t>00:21:CC:C3:BE:4B</t>
  </si>
  <si>
    <t>PBWBFZ8</t>
  </si>
  <si>
    <t>00:21:CC:C3:BD:0D</t>
  </si>
  <si>
    <t>PBWAXX7</t>
  </si>
  <si>
    <t>00:21:CC:C3:D5:58</t>
  </si>
  <si>
    <t>PBWBEM0</t>
  </si>
  <si>
    <t>00:21:CC:C2:23:BA</t>
  </si>
  <si>
    <t>PBWBFP7</t>
  </si>
  <si>
    <t>00:21:CC:C3:87:CF</t>
  </si>
  <si>
    <t>R9PFHEM</t>
  </si>
  <si>
    <t>3C:97:0E:04:B0:05</t>
  </si>
  <si>
    <t>PBWBFX5</t>
  </si>
  <si>
    <t>00:21:CC:C3:BB:32</t>
  </si>
  <si>
    <t>PB5AEB6</t>
  </si>
  <si>
    <t>28:D2:44:01:FE:7B</t>
  </si>
  <si>
    <t>PBWBFM8</t>
  </si>
  <si>
    <t>00:21:CC:C3:9A:2A</t>
  </si>
  <si>
    <t>PBXGFLD</t>
  </si>
  <si>
    <t>00:21:CC:CF:58:20</t>
  </si>
  <si>
    <t>R9PFHK1</t>
  </si>
  <si>
    <t>3C:97:0E:04:AD:4C</t>
  </si>
  <si>
    <t>PBWAYD8</t>
  </si>
  <si>
    <t>00:21:CC:C3:F4:22</t>
  </si>
  <si>
    <t>PB79XFX</t>
  </si>
  <si>
    <t>00:21:CC:D8:31:9F</t>
  </si>
  <si>
    <t>PBWBET4</t>
  </si>
  <si>
    <t>00:21:CC:C2:23:7A</t>
  </si>
  <si>
    <t>PBWBFK6</t>
  </si>
  <si>
    <t>00:21:CC:C2:5C:78</t>
  </si>
  <si>
    <t>PB9YK4N</t>
  </si>
  <si>
    <t>28:D2:44:07:D2:21</t>
  </si>
  <si>
    <t>R9PFHRF</t>
  </si>
  <si>
    <t>3C:97:0E:04:AF:BD</t>
  </si>
  <si>
    <t>R96LE7H</t>
  </si>
  <si>
    <t>F0:DE:F1:11:A3:C0</t>
  </si>
  <si>
    <t>Designated Loaner</t>
  </si>
  <si>
    <t>PBAKRL6</t>
  </si>
  <si>
    <t>00:21:CC:BE:E5:41</t>
  </si>
  <si>
    <t>PB0195B</t>
  </si>
  <si>
    <t>00:21:CC:D0:87:4F</t>
  </si>
  <si>
    <t>PBWBER7</t>
  </si>
  <si>
    <t>00:21:CC:C3:B7:75</t>
  </si>
  <si>
    <t>PBWAXV4</t>
  </si>
  <si>
    <t>00:21:CC:C3:BB:14</t>
  </si>
  <si>
    <t>PBWAYF0</t>
  </si>
  <si>
    <t>00:21:CC:C3:DF:D5</t>
  </si>
  <si>
    <t>R9NA1TP</t>
  </si>
  <si>
    <t>F0:DE:F1:E6:D9:DB</t>
  </si>
  <si>
    <t>PBWAYA4</t>
  </si>
  <si>
    <t>00:21:CC:C3:DF:E1</t>
  </si>
  <si>
    <t>R9PFHKR</t>
  </si>
  <si>
    <t>3C:97:0E:04:AF:23</t>
  </si>
  <si>
    <t>PBWAXP6</t>
  </si>
  <si>
    <t>00:21:CC:C2:9B:0E</t>
  </si>
  <si>
    <t>PK0T883</t>
  </si>
  <si>
    <t>3C:97:0E:BE:8C:69</t>
  </si>
  <si>
    <t>PB79XHA</t>
  </si>
  <si>
    <t>00:21:CC:D8:33:CF</t>
  </si>
  <si>
    <t>PBWAYB4</t>
  </si>
  <si>
    <t>00:21:CC:C3:F6:42</t>
  </si>
  <si>
    <t>PB79XHR</t>
  </si>
  <si>
    <t>00:21:CC:D8:63:54</t>
  </si>
  <si>
    <t>PB5KC0G</t>
  </si>
  <si>
    <t>28:D2:44:06:75:86</t>
  </si>
  <si>
    <t>PBWAYC9</t>
  </si>
  <si>
    <t>00:21:CC:C3:CD:A6</t>
  </si>
  <si>
    <t>PBWAYE9</t>
  </si>
  <si>
    <t>00:21:CC:C3:DF:95</t>
  </si>
  <si>
    <t>R9RZD26</t>
  </si>
  <si>
    <t>3C:97:0E:25:23:A1</t>
  </si>
  <si>
    <t>PBWBEK6</t>
  </si>
  <si>
    <t>00:21:CC:C3:9A:12</t>
  </si>
  <si>
    <t>R9PTH59</t>
  </si>
  <si>
    <t>3C:97:0E:09:BB:BB</t>
  </si>
  <si>
    <t>PBWAYC5</t>
  </si>
  <si>
    <t>00:21:CC:C3:BF:C3</t>
  </si>
  <si>
    <t>PBWBFZ4</t>
  </si>
  <si>
    <t>00:21:CC:C3:CA:78</t>
  </si>
  <si>
    <t>PBWBEK7</t>
  </si>
  <si>
    <t>00:21:CC:C3:C4:35</t>
  </si>
  <si>
    <t>PWBBFG6</t>
  </si>
  <si>
    <t>00:21:CC:C3:D8:8A</t>
  </si>
  <si>
    <t>PBWAXN6</t>
  </si>
  <si>
    <t>00:21:CC:C3:98:21</t>
  </si>
  <si>
    <t>PBWBFR2</t>
  </si>
  <si>
    <t>00:21:CC:C3:CC:EE</t>
  </si>
  <si>
    <t>PBWBFK9</t>
  </si>
  <si>
    <t>00:21:CC:C3:9A:BB</t>
  </si>
  <si>
    <t>PBWBEN4</t>
  </si>
  <si>
    <t>00:21:CC:C3:C1:CD</t>
  </si>
  <si>
    <t>PBWAXY9</t>
  </si>
  <si>
    <t>00:21:CC:C2:24:FC</t>
  </si>
  <si>
    <t>PBWBFH9</t>
  </si>
  <si>
    <t>00:21:CC:C3:C9:68</t>
  </si>
  <si>
    <t>R9PFHHT</t>
  </si>
  <si>
    <t>3C:97:0E:04:AF:81</t>
  </si>
  <si>
    <t>Re-use</t>
  </si>
  <si>
    <t>R9PFHKV</t>
  </si>
  <si>
    <t>3C:97:0E:04:AE:60</t>
  </si>
  <si>
    <t>x220</t>
  </si>
  <si>
    <t>re-use</t>
  </si>
  <si>
    <t>PB79XFM</t>
  </si>
  <si>
    <t>00:21:CC:D8:64:09</t>
  </si>
  <si>
    <t>R979W3F</t>
  </si>
  <si>
    <t>00:26:2D:FE:01:C1</t>
  </si>
  <si>
    <t>Returned to Palo Alto</t>
  </si>
  <si>
    <t>PBWAYA7</t>
  </si>
  <si>
    <t>00:21:CC:C3:F7:93</t>
  </si>
  <si>
    <t>PBWBFT4</t>
  </si>
  <si>
    <t>00:21:CC:C3:CD:17</t>
  </si>
  <si>
    <t>PBWBGB6</t>
  </si>
  <si>
    <t>00:21:CC:C2:8E:99</t>
  </si>
  <si>
    <t>R89D5VM</t>
  </si>
  <si>
    <t>5C:FF:35:0F:72:97</t>
  </si>
  <si>
    <t>PBWBFY6</t>
  </si>
  <si>
    <t>00:21:CC:C3:BD:75</t>
  </si>
  <si>
    <t>R9E7DHP</t>
  </si>
  <si>
    <t>F0:DE:F1:6B:C2:BB</t>
  </si>
  <si>
    <t>PK19TVZ</t>
  </si>
  <si>
    <t>3c:97:0e:c9:39:0b</t>
  </si>
  <si>
    <t>New Deployment</t>
  </si>
  <si>
    <t>R9PFHL3</t>
  </si>
  <si>
    <t>3C:97:0E:04:AE:7B</t>
  </si>
  <si>
    <t>PB9M64Y</t>
  </si>
  <si>
    <t>00:21:CC:DB:14:1D</t>
  </si>
  <si>
    <t>PBWBEM8</t>
  </si>
  <si>
    <t>00:21:CC:C3:C6:67</t>
  </si>
  <si>
    <t>PBWAXV7</t>
  </si>
  <si>
    <t>00:21:CC:C3:E8:7E</t>
  </si>
  <si>
    <t>PBWAXP3</t>
  </si>
  <si>
    <t>00:21:CC:C3:99:5A</t>
  </si>
  <si>
    <t>PBWBGA1</t>
  </si>
  <si>
    <t>00:21:CC:C3:BD:49</t>
  </si>
  <si>
    <t>PBWAYD6</t>
  </si>
  <si>
    <t>00:21:CC:C3:BF:DB</t>
  </si>
  <si>
    <t>PBWBEN1</t>
  </si>
  <si>
    <t>00:21:CC:C3:9A:80</t>
  </si>
  <si>
    <t>PBWBFT1</t>
  </si>
  <si>
    <t>00:21:CC:C3:CE:4F</t>
  </si>
  <si>
    <t>PBWBFH2</t>
  </si>
  <si>
    <t>00:21:CC:C2:62:C1</t>
  </si>
  <si>
    <t>R9PFHHL</t>
  </si>
  <si>
    <t>3C:97:0E:04:B0:17</t>
  </si>
  <si>
    <t>PBWAXR5</t>
  </si>
  <si>
    <t>00:21:CC:C3:C8:AC</t>
  </si>
  <si>
    <t>PBWBFG1</t>
  </si>
  <si>
    <t>00:21:CC:C3:BC:8F</t>
  </si>
  <si>
    <t>PBWBFZ6</t>
  </si>
  <si>
    <t>00:21:CC:C3:C9:F8</t>
  </si>
  <si>
    <t>PBWBFN0</t>
  </si>
  <si>
    <t>00:21:CC:C3:97:91</t>
  </si>
  <si>
    <t>R9PFHGG</t>
  </si>
  <si>
    <t>3C:97:0E:04:AF:3D</t>
  </si>
  <si>
    <t>PBWBGE8</t>
  </si>
  <si>
    <t>00:21:CC:C3:C0:F4</t>
  </si>
  <si>
    <t>PBWBER3</t>
  </si>
  <si>
    <t>00:21:CC:C3:FA:DD</t>
  </si>
  <si>
    <t>PBWBFF9</t>
  </si>
  <si>
    <t>00:21:CC:C3:CA:61</t>
  </si>
  <si>
    <t>PBWBGB4</t>
  </si>
  <si>
    <t>00:21:CC:C3:B3:22</t>
  </si>
  <si>
    <t>PBWAYK3</t>
  </si>
  <si>
    <t>00:21:CC:C3:D3:3E</t>
  </si>
  <si>
    <t>R9PFHHK</t>
  </si>
  <si>
    <t>3C:97:0E:04:B0:2C</t>
  </si>
  <si>
    <t>PBWBFK4</t>
  </si>
  <si>
    <t>00:21:CC:C3:93:5D</t>
  </si>
  <si>
    <t>PB79XHV</t>
  </si>
  <si>
    <t>00:21:CC:D8:64:A0</t>
  </si>
  <si>
    <t>PBWBER4</t>
  </si>
  <si>
    <t>00:21:CC:C3:FA:45</t>
  </si>
  <si>
    <t>R9PFHHY</t>
  </si>
  <si>
    <t>3C:97:0E:04:AB:A6</t>
  </si>
  <si>
    <t>PBWBEL2</t>
  </si>
  <si>
    <t>00:21:CC:C3:C4:87</t>
  </si>
  <si>
    <t>PBWAXN3</t>
  </si>
  <si>
    <t>00:21:CC:C3:97:EC</t>
  </si>
  <si>
    <t>PBWBFV5</t>
  </si>
  <si>
    <t>00:21:CC:C3:BB:3E</t>
  </si>
  <si>
    <t>PBWBFV1</t>
  </si>
  <si>
    <t>00:21:CC:C3:D6:7D</t>
  </si>
  <si>
    <t>PBAKRP3</t>
  </si>
  <si>
    <t>00:21:CC:BD:FA:04</t>
  </si>
  <si>
    <t>PBWAXW7</t>
  </si>
  <si>
    <t>00:21:CC:C3:CD:CA</t>
  </si>
  <si>
    <t>PB5AEB7</t>
  </si>
  <si>
    <t>28:D2:44:01:FD:A5</t>
  </si>
  <si>
    <t>PB5AEC2</t>
  </si>
  <si>
    <t>28:D2:44:04:86:95</t>
  </si>
  <si>
    <t>PBWAYG5</t>
  </si>
  <si>
    <t>00:21:CC:C3:D3:21</t>
  </si>
  <si>
    <t>R8X9WGP</t>
  </si>
  <si>
    <t>00:21:CC:62:CE:91</t>
  </si>
  <si>
    <t>PBWAXX5</t>
  </si>
  <si>
    <t>00:21:CC:C3:D3:BE</t>
  </si>
  <si>
    <t>PBWAYH4</t>
  </si>
  <si>
    <t>00:21:CC:C3:CC:7B</t>
  </si>
  <si>
    <t>PBWBFZ5</t>
  </si>
  <si>
    <t>00:21:CC:C3:CA:8C</t>
  </si>
  <si>
    <t>PB5AEC4</t>
  </si>
  <si>
    <t>28:D2:44:04:87:CC</t>
  </si>
  <si>
    <t>PBWAXY6</t>
  </si>
  <si>
    <t>00:21:CC:C2:28:D0</t>
  </si>
  <si>
    <t>PBWBFZ7</t>
  </si>
  <si>
    <t>00:21:CC:C3:BE:49</t>
  </si>
  <si>
    <t>R9PFHH0</t>
  </si>
  <si>
    <t>3C:97:0E:04:AD:71</t>
  </si>
  <si>
    <t>R9PFHFC</t>
  </si>
  <si>
    <t>3C:97:0E:04:AD:8A</t>
  </si>
  <si>
    <t>PBXGFLL</t>
  </si>
  <si>
    <t>00:21:CC:CB:00:F7</t>
  </si>
  <si>
    <t>PBWBFK5</t>
  </si>
  <si>
    <t>00:21:CC:C3:B4:E9</t>
  </si>
  <si>
    <t>PBWBEL4</t>
  </si>
  <si>
    <t>00:21:CC:C3:91:0A</t>
  </si>
  <si>
    <t>R9PFHHG</t>
  </si>
  <si>
    <t>3C:97:0E:04:AD:B2</t>
  </si>
  <si>
    <t>PBWAXN9</t>
  </si>
  <si>
    <t>00:21:CC:C3:95:AC</t>
  </si>
  <si>
    <t>PBWBFP5</t>
  </si>
  <si>
    <t>00:21:CC:C3:96:7D</t>
  </si>
  <si>
    <t>R9VVTAD</t>
  </si>
  <si>
    <t>3C:97:0E:5A:1B:9E</t>
  </si>
  <si>
    <t>R8G1RPC</t>
  </si>
  <si>
    <t>00:21:CC:5F:AD:08</t>
  </si>
  <si>
    <t>PBWBFT8</t>
  </si>
  <si>
    <t>00:21:CC:C3:CD:4D</t>
  </si>
  <si>
    <t>PBWBFF5</t>
  </si>
  <si>
    <t>00:21:CC:C3:BB:B3</t>
  </si>
  <si>
    <t>PBWBFG9</t>
  </si>
  <si>
    <t>00:21:CC:C3:C8:82</t>
  </si>
  <si>
    <t>PBWAYH9</t>
  </si>
  <si>
    <t>00:21:CC:C3:D3:45</t>
  </si>
  <si>
    <t>R8G1VAN</t>
  </si>
  <si>
    <t>00:21:CC:5F:95:C6</t>
  </si>
  <si>
    <t>PBWAXV1</t>
  </si>
  <si>
    <t>00:21:CC:C3:BB:2E</t>
  </si>
  <si>
    <t>PBWBGA2</t>
  </si>
  <si>
    <t>00:21:CC:C3:BD:1C</t>
  </si>
  <si>
    <t>PBWBCT3</t>
  </si>
  <si>
    <t>00:21:CC:C3:D7:24</t>
  </si>
  <si>
    <t>PBWAYA2</t>
  </si>
  <si>
    <t>00:21:CC:C3:DF:96</t>
  </si>
  <si>
    <t>PBWBGD7</t>
  </si>
  <si>
    <t>00:21:CC:C3:88:57</t>
  </si>
  <si>
    <t>PBWAXV6</t>
  </si>
  <si>
    <t>00:21:CC:C3:DE:71</t>
  </si>
  <si>
    <t>PBWAXT7</t>
  </si>
  <si>
    <t>00:21:CC:C3:99:0B</t>
  </si>
  <si>
    <t>PBWBFM0</t>
  </si>
  <si>
    <t>00:21:CC:C3:CD:C0</t>
  </si>
  <si>
    <t>PBWAYG9</t>
  </si>
  <si>
    <t>00:21:CC:C3:DE:DF</t>
  </si>
  <si>
    <t>R8PW05P</t>
  </si>
  <si>
    <t>00:21:CC:68:79:D6</t>
  </si>
  <si>
    <t>PBWBFG5</t>
  </si>
  <si>
    <t>00:21:CC:C3:BD:0C</t>
  </si>
  <si>
    <t>PBWAXV0</t>
  </si>
  <si>
    <t>00:21:CC:C3:98:65</t>
  </si>
  <si>
    <t>PBWBFH4</t>
  </si>
  <si>
    <t>00:21:CC:C3:BB:DF</t>
  </si>
  <si>
    <t>PBWBFG3</t>
  </si>
  <si>
    <t>00:21:CC:C3:91:8F</t>
  </si>
  <si>
    <t>PBWBEM2</t>
  </si>
  <si>
    <t>00:21:CC:C3:C6:B6</t>
  </si>
  <si>
    <t>PBWAXZ3</t>
  </si>
  <si>
    <t>00:21:CC:C3:D7:5C</t>
  </si>
  <si>
    <t>PBWAXR1</t>
  </si>
  <si>
    <t>00:21:CC:C3:C9:59</t>
  </si>
  <si>
    <t>PBWBGC6</t>
  </si>
  <si>
    <t>00:21:CC:C3:C8:7F</t>
  </si>
  <si>
    <t>PBWAYF9</t>
  </si>
  <si>
    <t>00:21:CC:C3:E8:47</t>
  </si>
  <si>
    <t>R9PF242A</t>
  </si>
  <si>
    <t>3C:97:0E:01:67:F9</t>
  </si>
  <si>
    <t>PBWBFZ2</t>
  </si>
  <si>
    <t>00:21:CC:C3:CA:05</t>
  </si>
  <si>
    <t>R9PHHER</t>
  </si>
  <si>
    <t>3C:97:0E:04:B0:0E</t>
  </si>
  <si>
    <t>R9HH59H</t>
  </si>
  <si>
    <t>F0:DE:F1:9E:DF:91</t>
  </si>
  <si>
    <t>PBWAXW5</t>
  </si>
  <si>
    <t>00:21:CC:C3:C0:F2</t>
  </si>
  <si>
    <t>PBWAXP9</t>
  </si>
  <si>
    <t>00:21:CC:C3:99:1A</t>
  </si>
  <si>
    <t>PBWAYG1</t>
  </si>
  <si>
    <t>00:21:CC:C3:DF:1C</t>
  </si>
  <si>
    <t>PBWAXX0</t>
  </si>
  <si>
    <t>00:21:CC:C3:D6:93</t>
  </si>
  <si>
    <t>R9PF42G</t>
  </si>
  <si>
    <t>3C:97:0E:01:67:F0</t>
  </si>
  <si>
    <t>PBWAXZ1</t>
  </si>
  <si>
    <t>00:21:CC:C3:DC:FD</t>
  </si>
  <si>
    <t>Jednao Zople</t>
  </si>
  <si>
    <t>I826064</t>
  </si>
  <si>
    <t>Swati Sahni</t>
  </si>
  <si>
    <t>R9PFHER</t>
  </si>
  <si>
    <t>I825875</t>
  </si>
  <si>
    <t>Birinder Dhillon</t>
  </si>
  <si>
    <t>PBWABEL0</t>
  </si>
  <si>
    <t>I825596</t>
  </si>
  <si>
    <t xml:space="preserve">Craig Sandvik </t>
  </si>
  <si>
    <t>PBWAXV2</t>
  </si>
  <si>
    <t>I829534</t>
  </si>
  <si>
    <t>John Sims</t>
  </si>
  <si>
    <t>R9PFHHM</t>
  </si>
  <si>
    <t>L</t>
  </si>
  <si>
    <t>I825827</t>
  </si>
  <si>
    <t xml:space="preserve">Xiaohong Yuan </t>
  </si>
  <si>
    <t>PBWAYB0</t>
  </si>
  <si>
    <t>I825641</t>
  </si>
  <si>
    <t>Quelly Lazaro</t>
  </si>
  <si>
    <t>I810691</t>
  </si>
  <si>
    <t>Rae Kyriazis</t>
  </si>
  <si>
    <t>PBAY99A</t>
  </si>
  <si>
    <t>I306043</t>
  </si>
  <si>
    <t>Adam Woolf</t>
  </si>
  <si>
    <t>PBAY79L</t>
  </si>
  <si>
    <t>N/A</t>
  </si>
  <si>
    <t>I301761</t>
  </si>
  <si>
    <t>Richa Rajput</t>
  </si>
  <si>
    <t>PBAZ00M</t>
  </si>
  <si>
    <t>I825374</t>
  </si>
  <si>
    <t>Jasson Burt</t>
  </si>
  <si>
    <t>R9PFHKZ</t>
  </si>
  <si>
    <t>D052173</t>
  </si>
  <si>
    <t>Mirjam Metzler</t>
  </si>
  <si>
    <t>R9NNT53</t>
  </si>
  <si>
    <t>I825390</t>
  </si>
  <si>
    <t>Martin Ash</t>
  </si>
  <si>
    <t>PBWBFX3</t>
  </si>
  <si>
    <t>Jane MacIntosh</t>
  </si>
  <si>
    <t>C5179321</t>
  </si>
  <si>
    <t>PB22A9G</t>
  </si>
  <si>
    <t>I825517</t>
  </si>
  <si>
    <t>Vickie Lu</t>
  </si>
  <si>
    <t>PBWAXW1</t>
  </si>
  <si>
    <t>PBWBFV0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</si>
</sst>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 \-\ mmm\ \-\ yyyy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2"/>
      <color theme="1"/>
      <name val="Calibri"/>
      <family val="2"/>
      <scheme val="minor"/>
    </font>
    <font>
      <sz val="11"/>
      <name val="Calibri"/>
      <family val="2"/>
      <scheme val="minor"/>
    </font>
    <font>
      <sz val="22"/>
      <name val="Calibri"/>
      <family val="2"/>
      <scheme val="minor"/>
    </font>
    <font>
      <sz val="20"/>
      <name val="Calibri"/>
      <family val="2"/>
      <scheme val="minor"/>
    </font>
    <font>
      <sz val="40"/>
      <color theme="1"/>
      <name val="Calibri"/>
      <family val="2"/>
      <scheme val="minor"/>
    </font>
    <font>
      <sz val="14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9" fillId="0" borderId="0" xfId="0" applyFont="1"/>
    <xf numFmtId="0" fontId="1" fillId="0" borderId="0" xfId="0" applyFont="1"/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Fill="1" applyBorder="1"/>
    <xf numFmtId="0" fontId="5" fillId="0" borderId="0" xfId="0" applyFont="1" applyAlignment="1">
      <alignment horizontal="left" vertical="center"/>
    </xf>
    <xf numFmtId="0" fontId="9" fillId="0" borderId="1" xfId="0" applyFont="1" applyFill="1" applyBorder="1"/>
    <xf numFmtId="0" fontId="10" fillId="0" borderId="0" xfId="0" applyFont="1" applyBorder="1" applyAlignment="1">
      <alignment horizontal="center" vertical="center"/>
    </xf>
    <xf numFmtId="0" fontId="9" fillId="0" borderId="0" xfId="0" applyFont="1" applyBorder="1"/>
    <xf numFmtId="0" fontId="9" fillId="2" borderId="0" xfId="0" applyFont="1" applyFill="1"/>
    <xf numFmtId="0" fontId="1" fillId="2" borderId="0" xfId="0" applyFont="1" applyFill="1"/>
    <xf numFmtId="0" fontId="2" fillId="0" borderId="0" xfId="0" applyFont="1"/>
    <xf numFmtId="164" fontId="2" fillId="0" borderId="0" xfId="0" applyNumberFormat="1" applyFont="1"/>
    <xf numFmtId="0" fontId="3" fillId="0" borderId="0" xfId="0" applyFont="1"/>
    <xf numFmtId="1" fontId="0" fillId="0" borderId="0" xfId="0" applyNumberFormat="1"/>
    <xf numFmtId="49" fontId="0" fillId="0" borderId="0" xfId="0" applyNumberFormat="1"/>
    <xf numFmtId="0" fontId="0" fillId="0" borderId="0" xfId="0" applyNumberFormat="1"/>
    <xf numFmtId="49" fontId="0" fillId="3" borderId="2" xfId="0" applyNumberFormat="1" applyFont="1" applyFill="1" applyBorder="1"/>
    <xf numFmtId="49" fontId="0" fillId="0" borderId="2" xfId="0" applyNumberFormat="1" applyFont="1" applyBorder="1"/>
    <xf numFmtId="164" fontId="13" fillId="0" borderId="0" xfId="0" applyNumberFormat="1" applyFont="1"/>
    <xf numFmtId="0" fontId="13" fillId="0" borderId="0" xfId="0" applyFont="1"/>
    <xf numFmtId="0" fontId="5" fillId="0" borderId="0" xfId="0" applyFont="1" applyAlignment="1">
      <alignment horizontal="left" vertical="center"/>
    </xf>
    <xf numFmtId="0" fontId="3" fillId="0" borderId="1" xfId="0" applyFont="1" applyFill="1" applyBorder="1" applyAlignment="1">
      <alignment horizontal="center"/>
    </xf>
    <xf numFmtId="0" fontId="6" fillId="0" borderId="0" xfId="0" applyFont="1" applyAlignment="1">
      <alignment horizontal="left" vertical="center"/>
    </xf>
    <xf numFmtId="164" fontId="3" fillId="0" borderId="1" xfId="0" applyNumberFormat="1" applyFont="1" applyFill="1" applyBorder="1" applyAlignment="1">
      <alignment horizontal="center"/>
    </xf>
    <xf numFmtId="0" fontId="12" fillId="0" borderId="0" xfId="0" applyFont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dd\ \-\ mmm\ \-\ yyyy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0</xdr:rowOff>
        </xdr:from>
        <xdr:to>
          <xdr:col>12</xdr:col>
          <xdr:colOff>28575</xdr:colOff>
          <xdr:row>1</xdr:row>
          <xdr:rowOff>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9525</xdr:rowOff>
        </xdr:from>
        <xdr:to>
          <xdr:col>10</xdr:col>
          <xdr:colOff>9525</xdr:colOff>
          <xdr:row>4</xdr:row>
          <xdr:rowOff>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9525</xdr:rowOff>
        </xdr:from>
        <xdr:to>
          <xdr:col>20</xdr:col>
          <xdr:colOff>9525</xdr:colOff>
          <xdr:row>4</xdr:row>
          <xdr:rowOff>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</xdr:row>
          <xdr:rowOff>9525</xdr:rowOff>
        </xdr:from>
        <xdr:to>
          <xdr:col>28</xdr:col>
          <xdr:colOff>9525</xdr:colOff>
          <xdr:row>4</xdr:row>
          <xdr:rowOff>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9525</xdr:rowOff>
        </xdr:from>
        <xdr:to>
          <xdr:col>10</xdr:col>
          <xdr:colOff>9525</xdr:colOff>
          <xdr:row>4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9525</xdr:rowOff>
        </xdr:from>
        <xdr:to>
          <xdr:col>20</xdr:col>
          <xdr:colOff>9525</xdr:colOff>
          <xdr:row>4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</xdr:row>
          <xdr:rowOff>9525</xdr:rowOff>
        </xdr:from>
        <xdr:to>
          <xdr:col>28</xdr:col>
          <xdr:colOff>9525</xdr:colOff>
          <xdr:row>4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J16" totalsRowShown="0" headerRowDxfId="18" dataDxfId="17">
  <autoFilter ref="A1:J16"/>
  <tableColumns count="10">
    <tableColumn id="19" name="Action Date" dataDxfId="16"/>
    <tableColumn id="1" name="Technician" dataDxfId="15"/>
    <tableColumn id="2" name="User's ID" dataDxfId="14"/>
    <tableColumn id="3" name="User's Name" dataDxfId="13"/>
    <tableColumn id="4" name="Case #" dataDxfId="12"/>
    <tableColumn id="5" name="Asset Returned" dataDxfId="11"/>
    <tableColumn id="6" name="Returned SN" dataDxfId="10"/>
    <tableColumn id="7" name="Asset Issued" dataDxfId="9"/>
    <tableColumn id="8" name="Issued SN" dataDxfId="8"/>
    <tableColumn id="9" name="Model" dataDxfId="7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E276" totalsRowShown="0" headerRowDxfId="6" dataDxfId="5">
  <autoFilter ref="A1:E276"/>
  <sortState ref="A2:E31">
    <sortCondition ref="A1:A31"/>
  </sortState>
  <tableColumns count="5">
    <tableColumn id="1" name="Asset Tag" dataDxfId="4"/>
    <tableColumn id="2" name="Serial Number" dataDxfId="3"/>
    <tableColumn id="3" name="MAC Address" dataDxfId="2"/>
    <tableColumn id="4" name="Model" dataDxfId="1"/>
    <tableColumn id="5" name="Inventory Loc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6"/>
  <sheetViews>
    <sheetView tabSelected="1" workbookViewId="0">
      <pane ySplit="1" topLeftCell="A2" activePane="bottomLeft" state="frozen"/>
      <selection pane="bottomLeft" activeCell="F16" sqref="F16"/>
    </sheetView>
  </sheetViews>
  <sheetFormatPr defaultRowHeight="18.75" x14ac:dyDescent="0.3"/>
  <cols>
    <col min="1" max="1" width="20.5703125" style="12" bestFit="1" customWidth="1"/>
    <col min="2" max="2" width="19" style="12" bestFit="1" customWidth="1"/>
    <col min="3" max="3" width="16.42578125" style="12" bestFit="1" customWidth="1"/>
    <col min="4" max="4" width="22.140625" style="12" bestFit="1" customWidth="1"/>
    <col min="5" max="5" width="15.7109375" style="12" bestFit="1" customWidth="1"/>
    <col min="6" max="6" width="26" style="12" bestFit="1" customWidth="1"/>
    <col min="7" max="7" width="21.85546875" style="12" bestFit="1" customWidth="1"/>
    <col min="8" max="8" width="21.5703125" style="12" bestFit="1" customWidth="1"/>
    <col min="9" max="9" width="17.42578125" style="12" bestFit="1" customWidth="1"/>
    <col min="10" max="10" width="12.85546875" style="12" bestFit="1" customWidth="1"/>
    <col min="13" max="13" width="11.28515625" customWidth="1"/>
    <col min="14" max="14" width="10.42578125" customWidth="1"/>
    <col min="15" max="15" width="8.5703125" customWidth="1"/>
    <col min="16" max="16" width="12" customWidth="1"/>
    <col min="17" max="17" width="11" bestFit="1" customWidth="1"/>
    <col min="18" max="18" width="14.7109375" customWidth="1"/>
    <col min="19" max="19" width="12.140625" customWidth="1"/>
    <col min="20" max="20" width="12" customWidth="1"/>
    <col min="21" max="21" width="9.5703125" customWidth="1"/>
    <col min="22" max="22" width="6.7109375" customWidth="1"/>
  </cols>
  <sheetData>
    <row r="1" spans="1:22" ht="34.5" customHeight="1" x14ac:dyDescent="0.35">
      <c r="A1" s="14" t="s">
        <v>64</v>
      </c>
      <c r="B1" s="14" t="s">
        <v>39</v>
      </c>
      <c r="C1" s="14" t="s">
        <v>55</v>
      </c>
      <c r="D1" s="14" t="s">
        <v>56</v>
      </c>
      <c r="E1" s="14" t="s">
        <v>42</v>
      </c>
      <c r="F1" s="14" t="s">
        <v>43</v>
      </c>
      <c r="G1" s="14" t="s">
        <v>45</v>
      </c>
      <c r="H1" s="14" t="s">
        <v>44</v>
      </c>
      <c r="I1" s="14" t="s">
        <v>46</v>
      </c>
      <c r="J1" s="14" t="s">
        <v>11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57</v>
      </c>
      <c r="V1" t="s">
        <v>65</v>
      </c>
    </row>
    <row r="2" spans="1:22" x14ac:dyDescent="0.3">
      <c r="A2" s="13"/>
      <c r="B2" s="12" t="s">
        <v>34</v>
      </c>
      <c r="C2" s="12" t="s">
        <v>61</v>
      </c>
      <c r="D2" s="12" t="s">
        <v>609</v>
      </c>
      <c r="E2" s="12">
        <v>6000752148</v>
      </c>
      <c r="F2" s="12">
        <v>621857</v>
      </c>
      <c r="G2" s="12" t="s">
        <v>62</v>
      </c>
      <c r="H2" s="12">
        <v>723814</v>
      </c>
      <c r="I2" s="12" t="s">
        <v>63</v>
      </c>
      <c r="J2" s="12" t="s">
        <v>23</v>
      </c>
      <c r="M2" t="s">
        <v>64</v>
      </c>
      <c r="N2" t="s">
        <v>39</v>
      </c>
      <c r="O2" t="s">
        <v>40</v>
      </c>
      <c r="P2" t="s">
        <v>41</v>
      </c>
      <c r="Q2" t="s">
        <v>42</v>
      </c>
      <c r="R2" t="s">
        <v>43</v>
      </c>
      <c r="S2" t="s">
        <v>45</v>
      </c>
      <c r="T2" t="s">
        <v>44</v>
      </c>
      <c r="U2" t="s">
        <v>46</v>
      </c>
      <c r="V2" t="s">
        <v>11</v>
      </c>
    </row>
    <row r="3" spans="1:22" x14ac:dyDescent="0.3">
      <c r="A3" s="20">
        <v>41647</v>
      </c>
      <c r="B3" s="21" t="s">
        <v>34</v>
      </c>
      <c r="C3" s="21" t="s">
        <v>610</v>
      </c>
      <c r="D3" s="21" t="s">
        <v>611</v>
      </c>
      <c r="E3" s="21">
        <v>8000769231</v>
      </c>
      <c r="F3" s="21">
        <v>531528</v>
      </c>
      <c r="G3" s="21" t="s">
        <v>519</v>
      </c>
      <c r="H3" s="21">
        <v>521013</v>
      </c>
      <c r="I3" s="21" t="s">
        <v>612</v>
      </c>
      <c r="J3" s="21" t="s">
        <v>19</v>
      </c>
      <c r="M3">
        <f t="shared" ref="M3:V3" ca="1" si="0">INDIRECT(M1&amp;CELL("row"))</f>
        <v>41879</v>
      </c>
      <c r="N3" t="str">
        <f t="shared" ca="1" si="0"/>
        <v>Dan-Joe Lopez</v>
      </c>
      <c r="O3" t="str">
        <f t="shared" ca="1" si="0"/>
        <v>I825517</v>
      </c>
      <c r="P3" t="str">
        <f t="shared" ca="1" si="0"/>
        <v>Vickie Lu</v>
      </c>
      <c r="Q3">
        <f t="shared" ca="1" si="0"/>
        <v>8001477052</v>
      </c>
      <c r="R3">
        <f t="shared" ca="1" si="0"/>
        <v>531442</v>
      </c>
      <c r="S3" t="str">
        <f t="shared" ca="1" si="0"/>
        <v>PBWAXW1</v>
      </c>
      <c r="T3">
        <f t="shared" ca="1" si="0"/>
        <v>531591</v>
      </c>
      <c r="U3" t="str">
        <f t="shared" ca="1" si="0"/>
        <v>PBWBFV0</v>
      </c>
      <c r="V3" t="str">
        <f t="shared" ca="1" si="0"/>
        <v>T420</v>
      </c>
    </row>
    <row r="4" spans="1:22" x14ac:dyDescent="0.3">
      <c r="A4" s="20">
        <v>41653</v>
      </c>
      <c r="B4" s="21" t="s">
        <v>34</v>
      </c>
      <c r="C4" s="21" t="s">
        <v>613</v>
      </c>
      <c r="D4" s="21" t="s">
        <v>614</v>
      </c>
      <c r="E4" s="21">
        <v>8000782840</v>
      </c>
      <c r="F4" s="21">
        <v>531386</v>
      </c>
      <c r="G4" s="21" t="s">
        <v>615</v>
      </c>
      <c r="H4" s="21">
        <v>531652</v>
      </c>
      <c r="I4" s="21" t="s">
        <v>557</v>
      </c>
      <c r="J4" s="21" t="s">
        <v>19</v>
      </c>
    </row>
    <row r="5" spans="1:22" x14ac:dyDescent="0.3">
      <c r="A5" s="20">
        <v>41655</v>
      </c>
      <c r="B5" s="21" t="s">
        <v>35</v>
      </c>
      <c r="C5" s="21" t="s">
        <v>616</v>
      </c>
      <c r="D5" s="21" t="s">
        <v>617</v>
      </c>
      <c r="E5" s="21">
        <v>8000789627</v>
      </c>
      <c r="F5" s="21">
        <v>527881</v>
      </c>
      <c r="G5" s="21" t="s">
        <v>618</v>
      </c>
      <c r="H5" s="21">
        <v>527916</v>
      </c>
      <c r="I5" s="21" t="s">
        <v>599</v>
      </c>
      <c r="J5" s="21" t="s">
        <v>19</v>
      </c>
    </row>
    <row r="6" spans="1:22" x14ac:dyDescent="0.3">
      <c r="A6" s="20">
        <v>41638</v>
      </c>
      <c r="B6" s="21" t="s">
        <v>34</v>
      </c>
      <c r="C6" s="21" t="s">
        <v>619</v>
      </c>
      <c r="D6" s="21" t="s">
        <v>620</v>
      </c>
      <c r="E6" s="21">
        <v>7000497376</v>
      </c>
      <c r="F6" s="21">
        <v>531794</v>
      </c>
      <c r="G6" s="21" t="s">
        <v>621</v>
      </c>
      <c r="H6" s="21" t="s">
        <v>622</v>
      </c>
      <c r="I6" s="21"/>
      <c r="J6" s="21" t="s">
        <v>12</v>
      </c>
    </row>
    <row r="7" spans="1:22" x14ac:dyDescent="0.3">
      <c r="A7" s="20">
        <v>41663</v>
      </c>
      <c r="B7" s="21" t="s">
        <v>34</v>
      </c>
      <c r="C7" s="21" t="s">
        <v>623</v>
      </c>
      <c r="D7" s="21" t="s">
        <v>624</v>
      </c>
      <c r="E7" s="21">
        <v>8000810558</v>
      </c>
      <c r="F7" s="21">
        <v>531451</v>
      </c>
      <c r="G7" s="21" t="s">
        <v>625</v>
      </c>
      <c r="H7" s="21"/>
      <c r="I7" s="21"/>
      <c r="J7" s="21" t="s">
        <v>19</v>
      </c>
    </row>
    <row r="8" spans="1:22" x14ac:dyDescent="0.3">
      <c r="A8" s="20">
        <v>41674</v>
      </c>
      <c r="B8" s="21" t="s">
        <v>34</v>
      </c>
      <c r="C8" s="21" t="s">
        <v>626</v>
      </c>
      <c r="D8" s="21" t="s">
        <v>627</v>
      </c>
      <c r="E8" s="21">
        <v>8000837879</v>
      </c>
      <c r="F8" s="21">
        <v>527906</v>
      </c>
      <c r="G8" s="21" t="s">
        <v>208</v>
      </c>
      <c r="H8" s="21">
        <v>531528</v>
      </c>
      <c r="I8" s="21" t="s">
        <v>519</v>
      </c>
      <c r="J8" s="21" t="s">
        <v>19</v>
      </c>
    </row>
    <row r="9" spans="1:22" x14ac:dyDescent="0.3">
      <c r="A9" s="20">
        <v>41674</v>
      </c>
      <c r="B9" s="21" t="s">
        <v>34</v>
      </c>
      <c r="C9" s="21" t="s">
        <v>628</v>
      </c>
      <c r="D9" s="21" t="s">
        <v>629</v>
      </c>
      <c r="E9" s="21">
        <v>8000838056</v>
      </c>
      <c r="F9" s="21">
        <v>510474</v>
      </c>
      <c r="G9" s="21"/>
      <c r="H9" s="21">
        <v>561608</v>
      </c>
      <c r="I9" s="21" t="s">
        <v>630</v>
      </c>
      <c r="J9" s="21" t="s">
        <v>19</v>
      </c>
    </row>
    <row r="10" spans="1:22" x14ac:dyDescent="0.3">
      <c r="A10" s="20">
        <v>41841</v>
      </c>
      <c r="B10" s="21" t="s">
        <v>34</v>
      </c>
      <c r="C10" s="21" t="s">
        <v>631</v>
      </c>
      <c r="D10" s="21" t="s">
        <v>632</v>
      </c>
      <c r="E10" s="21">
        <v>8001357356</v>
      </c>
      <c r="F10" s="21">
        <v>561875</v>
      </c>
      <c r="G10" s="21" t="s">
        <v>633</v>
      </c>
      <c r="H10" s="21" t="s">
        <v>634</v>
      </c>
      <c r="I10" s="21" t="s">
        <v>634</v>
      </c>
      <c r="J10" s="21" t="s">
        <v>19</v>
      </c>
    </row>
    <row r="11" spans="1:22" x14ac:dyDescent="0.3">
      <c r="A11" s="20">
        <v>41843</v>
      </c>
      <c r="B11" s="21" t="s">
        <v>34</v>
      </c>
      <c r="C11" s="21" t="s">
        <v>635</v>
      </c>
      <c r="D11" s="21" t="s">
        <v>636</v>
      </c>
      <c r="E11" s="21">
        <v>8001365860</v>
      </c>
      <c r="F11" s="21">
        <v>561620</v>
      </c>
      <c r="G11" s="21" t="s">
        <v>637</v>
      </c>
      <c r="H11" s="21" t="s">
        <v>634</v>
      </c>
      <c r="I11" s="21" t="s">
        <v>634</v>
      </c>
      <c r="J11" s="21" t="s">
        <v>20</v>
      </c>
    </row>
    <row r="12" spans="1:22" x14ac:dyDescent="0.3">
      <c r="A12" s="20">
        <v>41848</v>
      </c>
      <c r="B12" s="21" t="s">
        <v>34</v>
      </c>
      <c r="C12" s="21" t="s">
        <v>638</v>
      </c>
      <c r="D12" s="21" t="s">
        <v>639</v>
      </c>
      <c r="E12" s="21">
        <v>8001378816</v>
      </c>
      <c r="F12" s="21">
        <v>531847</v>
      </c>
      <c r="G12" s="21" t="s">
        <v>640</v>
      </c>
      <c r="H12" s="21"/>
      <c r="I12" s="21"/>
      <c r="J12" s="21" t="s">
        <v>12</v>
      </c>
    </row>
    <row r="13" spans="1:22" x14ac:dyDescent="0.3">
      <c r="A13" s="20">
        <v>41851</v>
      </c>
      <c r="B13" s="21" t="s">
        <v>34</v>
      </c>
      <c r="C13" s="21" t="s">
        <v>641</v>
      </c>
      <c r="D13" s="21" t="s">
        <v>642</v>
      </c>
      <c r="E13" s="21">
        <v>8001390689</v>
      </c>
      <c r="F13" s="21">
        <v>527648</v>
      </c>
      <c r="G13" s="21" t="s">
        <v>643</v>
      </c>
      <c r="H13" s="21" t="s">
        <v>634</v>
      </c>
      <c r="I13" s="21" t="s">
        <v>634</v>
      </c>
      <c r="J13" s="21" t="s">
        <v>12</v>
      </c>
    </row>
    <row r="14" spans="1:22" x14ac:dyDescent="0.3">
      <c r="A14" s="20">
        <v>41857</v>
      </c>
      <c r="B14" s="21" t="s">
        <v>34</v>
      </c>
      <c r="C14" s="21" t="s">
        <v>644</v>
      </c>
      <c r="D14" s="21" t="s">
        <v>645</v>
      </c>
      <c r="E14" s="21">
        <v>8001408174</v>
      </c>
      <c r="F14" s="21">
        <v>531563</v>
      </c>
      <c r="G14" s="21" t="s">
        <v>646</v>
      </c>
      <c r="H14" s="21">
        <v>498612</v>
      </c>
      <c r="I14" s="21" t="s">
        <v>507</v>
      </c>
      <c r="J14" s="21" t="s">
        <v>19</v>
      </c>
    </row>
    <row r="15" spans="1:22" x14ac:dyDescent="0.3">
      <c r="A15" s="20">
        <v>41858</v>
      </c>
      <c r="B15" s="21" t="s">
        <v>34</v>
      </c>
      <c r="C15" s="21" t="s">
        <v>648</v>
      </c>
      <c r="D15" s="21" t="s">
        <v>647</v>
      </c>
      <c r="E15" s="21">
        <v>8001412298</v>
      </c>
      <c r="F15" s="21">
        <v>535815</v>
      </c>
      <c r="G15" s="21" t="s">
        <v>649</v>
      </c>
      <c r="H15" s="21"/>
      <c r="I15" s="21"/>
      <c r="J15" s="21" t="s">
        <v>20</v>
      </c>
    </row>
    <row r="16" spans="1:22" x14ac:dyDescent="0.3">
      <c r="A16" s="20">
        <v>41879</v>
      </c>
      <c r="B16" s="21" t="s">
        <v>34</v>
      </c>
      <c r="C16" s="21" t="s">
        <v>650</v>
      </c>
      <c r="D16" s="21" t="s">
        <v>651</v>
      </c>
      <c r="E16" s="21">
        <v>8001477052</v>
      </c>
      <c r="F16" s="21">
        <v>531442</v>
      </c>
      <c r="G16" s="21" t="s">
        <v>652</v>
      </c>
      <c r="H16" s="21">
        <v>531591</v>
      </c>
      <c r="I16" s="21" t="s">
        <v>653</v>
      </c>
      <c r="J16" s="21" t="s">
        <v>19</v>
      </c>
    </row>
  </sheetData>
  <dataValidations count="2">
    <dataValidation type="list" allowBlank="1" showInputMessage="1" showErrorMessage="1" sqref="B2:B16">
      <formula1>Technicians</formula1>
    </dataValidation>
    <dataValidation type="list" allowBlank="1" showInputMessage="1" showErrorMessage="1" sqref="J2:J16">
      <formula1>Models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10</xdr:col>
                <xdr:colOff>19050</xdr:colOff>
                <xdr:row>0</xdr:row>
                <xdr:rowOff>0</xdr:rowOff>
              </from>
              <to>
                <xdr:col>12</xdr:col>
                <xdr:colOff>28575</xdr:colOff>
                <xdr:row>1</xdr:row>
                <xdr:rowOff>0</xdr:rowOff>
              </to>
            </anchor>
          </controlPr>
        </control>
      </mc:Choice>
      <mc:Fallback>
        <control shapeId="307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27"/>
  <sheetViews>
    <sheetView zoomScaleNormal="100" workbookViewId="0">
      <selection activeCell="R18" sqref="R18"/>
    </sheetView>
  </sheetViews>
  <sheetFormatPr defaultRowHeight="15" x14ac:dyDescent="0.25"/>
  <cols>
    <col min="1" max="1" width="4.85546875" style="2" customWidth="1"/>
    <col min="3" max="4" width="6.7109375" customWidth="1"/>
    <col min="5" max="5" width="3" customWidth="1"/>
    <col min="6" max="6" width="2.85546875" customWidth="1"/>
    <col min="7" max="7" width="3" customWidth="1"/>
    <col min="8" max="8" width="5.85546875" customWidth="1"/>
    <col min="9" max="9" width="0.5703125" customWidth="1"/>
    <col min="10" max="10" width="3.140625" customWidth="1"/>
    <col min="11" max="11" width="2.7109375" customWidth="1"/>
    <col min="12" max="12" width="1.7109375" customWidth="1"/>
    <col min="13" max="13" width="5.42578125" customWidth="1"/>
    <col min="14" max="14" width="3.28515625" customWidth="1"/>
    <col min="15" max="15" width="6.5703125" customWidth="1"/>
    <col min="16" max="16" width="7.28515625" customWidth="1"/>
    <col min="17" max="17" width="2.140625" customWidth="1"/>
    <col min="18" max="18" width="5.28515625" customWidth="1"/>
    <col min="19" max="19" width="1.140625" customWidth="1"/>
    <col min="20" max="20" width="3.140625" customWidth="1"/>
    <col min="21" max="21" width="1" customWidth="1"/>
    <col min="22" max="22" width="7.28515625" customWidth="1"/>
    <col min="23" max="23" width="2.42578125" customWidth="1"/>
    <col min="24" max="24" width="1" customWidth="1"/>
    <col min="25" max="25" width="5.85546875" customWidth="1"/>
    <col min="26" max="26" width="8.85546875" customWidth="1"/>
    <col min="27" max="27" width="8.7109375" customWidth="1"/>
    <col min="28" max="28" width="3.140625" customWidth="1"/>
  </cols>
  <sheetData>
    <row r="1" spans="1:29" ht="36" customHeight="1" x14ac:dyDescent="0.25">
      <c r="A1" s="2" t="s">
        <v>12</v>
      </c>
    </row>
    <row r="2" spans="1:29" ht="48" customHeight="1" x14ac:dyDescent="0.8">
      <c r="A2" s="2" t="s">
        <v>13</v>
      </c>
      <c r="I2" s="28" t="str">
        <f ca="1">IF('Machine Swap Log'!T3=0,"Term Hold",IF('Machine Swap Log'!T3="L","Lit Hold","5-Day Hold"))</f>
        <v>5-Day Hold</v>
      </c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</row>
    <row r="3" spans="1:29" ht="6" customHeight="1" x14ac:dyDescent="0.25">
      <c r="A3" s="2" t="s">
        <v>18</v>
      </c>
      <c r="E3" s="29" t="s">
        <v>38</v>
      </c>
      <c r="F3" s="29"/>
      <c r="G3" s="29"/>
      <c r="H3" s="29"/>
    </row>
    <row r="4" spans="1:29" s="1" customFormat="1" ht="18" customHeight="1" x14ac:dyDescent="0.25">
      <c r="A4" s="11" t="s">
        <v>19</v>
      </c>
      <c r="B4" s="30" t="s">
        <v>37</v>
      </c>
      <c r="C4" s="30"/>
      <c r="D4" s="8"/>
      <c r="E4" s="29"/>
      <c r="F4" s="29"/>
      <c r="G4" s="29"/>
      <c r="H4" s="29"/>
      <c r="I4" s="9"/>
      <c r="J4" s="7"/>
      <c r="K4" s="9"/>
      <c r="L4" s="9"/>
      <c r="M4" s="9"/>
      <c r="N4" s="31" t="s">
        <v>3</v>
      </c>
      <c r="O4" s="31"/>
      <c r="P4" s="31"/>
      <c r="Q4" s="31"/>
      <c r="R4" s="31"/>
      <c r="S4" s="9"/>
      <c r="T4" s="7"/>
      <c r="U4" s="9"/>
      <c r="V4" s="9"/>
      <c r="W4" s="9"/>
      <c r="X4" s="31" t="s">
        <v>4</v>
      </c>
      <c r="Y4" s="31"/>
      <c r="Z4" s="31"/>
      <c r="AA4" s="31"/>
      <c r="AB4" s="7"/>
      <c r="AC4" s="9"/>
    </row>
    <row r="5" spans="1:29" ht="18" customHeight="1" x14ac:dyDescent="0.25">
      <c r="B5" s="3"/>
      <c r="C5" s="3"/>
      <c r="D5" s="3"/>
      <c r="E5" s="4"/>
      <c r="F5" s="4"/>
      <c r="G5" s="4"/>
      <c r="H5" s="4"/>
      <c r="J5" s="5"/>
      <c r="N5" s="6"/>
      <c r="O5" s="6"/>
      <c r="P5" s="6"/>
      <c r="Q5" s="6"/>
      <c r="R5" s="6"/>
      <c r="T5" s="5"/>
      <c r="X5" s="6"/>
      <c r="Y5" s="6"/>
      <c r="Z5" s="6"/>
      <c r="AA5" s="6"/>
      <c r="AB5" s="5"/>
    </row>
    <row r="6" spans="1:29" ht="24" customHeight="1" x14ac:dyDescent="0.25">
      <c r="A6" s="2" t="s">
        <v>20</v>
      </c>
    </row>
    <row r="7" spans="1:29" ht="34.5" customHeight="1" x14ac:dyDescent="0.55000000000000004">
      <c r="A7" s="2" t="s">
        <v>21</v>
      </c>
      <c r="E7" s="26" t="s">
        <v>5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R7" s="27">
        <f ca="1">'Machine Swap Log'!Q3</f>
        <v>8001477052</v>
      </c>
      <c r="S7" s="27"/>
      <c r="T7" s="27"/>
      <c r="U7" s="27"/>
      <c r="V7" s="27"/>
      <c r="W7" s="27"/>
      <c r="X7" s="27"/>
      <c r="Y7" s="27"/>
      <c r="Z7" s="27"/>
    </row>
    <row r="8" spans="1:29" ht="30.75" customHeight="1" x14ac:dyDescent="0.25">
      <c r="A8" s="2" t="s">
        <v>22</v>
      </c>
    </row>
    <row r="9" spans="1:29" ht="20.25" customHeight="1" x14ac:dyDescent="0.35">
      <c r="A9" s="2" t="s">
        <v>23</v>
      </c>
      <c r="H9" s="24" t="s">
        <v>6</v>
      </c>
      <c r="I9" s="24"/>
      <c r="J9" s="24"/>
      <c r="K9" s="24"/>
      <c r="L9" s="24"/>
      <c r="M9" s="24"/>
      <c r="N9" s="24"/>
      <c r="O9" s="24"/>
      <c r="P9" s="24"/>
      <c r="R9" s="23" t="str">
        <f ca="1">'Machine Swap Log'!O3</f>
        <v>I825517</v>
      </c>
      <c r="S9" s="23"/>
      <c r="T9" s="23"/>
      <c r="U9" s="23"/>
      <c r="V9" s="23"/>
      <c r="W9" s="23"/>
      <c r="X9" s="23"/>
      <c r="Y9" s="23"/>
    </row>
    <row r="10" spans="1:29" ht="12.75" customHeight="1" x14ac:dyDescent="0.25">
      <c r="A10" s="2" t="s">
        <v>24</v>
      </c>
    </row>
    <row r="11" spans="1:29" ht="21.75" customHeight="1" x14ac:dyDescent="0.35">
      <c r="A11" s="2" t="s">
        <v>25</v>
      </c>
      <c r="H11" s="24" t="s">
        <v>7</v>
      </c>
      <c r="I11" s="24"/>
      <c r="J11" s="24"/>
      <c r="K11" s="24"/>
      <c r="L11" s="24"/>
      <c r="M11" s="24"/>
      <c r="N11" s="24"/>
      <c r="O11" s="24"/>
      <c r="P11" s="24"/>
      <c r="R11" s="23" t="str">
        <f ca="1">'Machine Swap Log'!P3</f>
        <v>Vickie Lu</v>
      </c>
      <c r="S11" s="23"/>
      <c r="T11" s="23"/>
      <c r="U11" s="23"/>
      <c r="V11" s="23"/>
      <c r="W11" s="23"/>
      <c r="X11" s="23"/>
      <c r="Y11" s="23"/>
    </row>
    <row r="12" spans="1:29" ht="11.25" customHeight="1" x14ac:dyDescent="0.25">
      <c r="A12" s="2" t="s">
        <v>26</v>
      </c>
    </row>
    <row r="13" spans="1:29" ht="20.25" customHeight="1" x14ac:dyDescent="0.35">
      <c r="A13" s="2" t="s">
        <v>27</v>
      </c>
      <c r="H13" s="24" t="s">
        <v>8</v>
      </c>
      <c r="I13" s="24"/>
      <c r="J13" s="24"/>
      <c r="K13" s="24"/>
      <c r="L13" s="24"/>
      <c r="M13" s="24"/>
      <c r="N13" s="24"/>
      <c r="O13" s="24"/>
      <c r="P13" s="24"/>
      <c r="R13" s="25" t="str">
        <f ca="1">IF(I2=A23,'Machine Swap Log'!M3,"")</f>
        <v/>
      </c>
      <c r="S13" s="25"/>
      <c r="T13" s="25"/>
      <c r="U13" s="25"/>
      <c r="V13" s="25"/>
      <c r="W13" s="25"/>
      <c r="X13" s="25"/>
      <c r="Y13" s="25"/>
    </row>
    <row r="14" spans="1:29" ht="13.5" customHeight="1" x14ac:dyDescent="0.25">
      <c r="A14" s="2" t="s">
        <v>28</v>
      </c>
    </row>
    <row r="15" spans="1:29" ht="21" customHeight="1" x14ac:dyDescent="0.35">
      <c r="A15" s="2" t="s">
        <v>29</v>
      </c>
      <c r="H15" s="24" t="s">
        <v>9</v>
      </c>
      <c r="I15" s="24"/>
      <c r="J15" s="24"/>
      <c r="K15" s="24"/>
      <c r="L15" s="24"/>
      <c r="M15" s="24"/>
      <c r="N15" s="24"/>
      <c r="O15" s="24"/>
      <c r="P15" s="24"/>
      <c r="R15" s="25">
        <f ca="1">'Machine Swap Log'!M3</f>
        <v>41879</v>
      </c>
      <c r="S15" s="25"/>
      <c r="T15" s="25"/>
      <c r="U15" s="25"/>
      <c r="V15" s="25"/>
      <c r="W15" s="25"/>
      <c r="X15" s="25"/>
      <c r="Y15" s="25"/>
    </row>
    <row r="16" spans="1:29" ht="9.75" customHeight="1" x14ac:dyDescent="0.25">
      <c r="A16" s="2" t="s">
        <v>30</v>
      </c>
    </row>
    <row r="17" spans="1:28" ht="22.5" customHeight="1" x14ac:dyDescent="0.35">
      <c r="A17" s="2" t="s">
        <v>31</v>
      </c>
      <c r="H17" s="24" t="s">
        <v>10</v>
      </c>
      <c r="I17" s="24"/>
      <c r="J17" s="24"/>
      <c r="K17" s="24"/>
      <c r="L17" s="24"/>
      <c r="M17" s="24"/>
      <c r="N17" s="24"/>
      <c r="O17" s="24"/>
      <c r="P17" s="24"/>
      <c r="R17" s="25">
        <f ca="1">IF(I2=A21,R15+7,IF(I2=A22,R15+14,""))</f>
        <v>41886</v>
      </c>
      <c r="S17" s="25"/>
      <c r="T17" s="25"/>
      <c r="U17" s="25"/>
      <c r="V17" s="25"/>
      <c r="W17" s="25"/>
      <c r="X17" s="25"/>
      <c r="Y17" s="25"/>
    </row>
    <row r="18" spans="1:28" ht="43.5" customHeight="1" x14ac:dyDescent="0.25"/>
    <row r="19" spans="1:28" ht="21" customHeight="1" x14ac:dyDescent="0.35">
      <c r="C19" s="24" t="s">
        <v>14</v>
      </c>
      <c r="D19" s="24"/>
      <c r="E19" s="24"/>
      <c r="F19" s="23" t="str">
        <f ca="1">'Machine Swap Log'!V3</f>
        <v>T420</v>
      </c>
      <c r="G19" s="23"/>
      <c r="H19" s="23"/>
      <c r="I19" s="23"/>
      <c r="J19" s="23"/>
      <c r="K19" s="23"/>
      <c r="M19" s="22" t="s">
        <v>15</v>
      </c>
      <c r="N19" s="22"/>
      <c r="O19" s="22"/>
      <c r="P19" s="23">
        <f ca="1">'Machine Swap Log'!R3</f>
        <v>531442</v>
      </c>
      <c r="Q19" s="23"/>
      <c r="R19" s="23"/>
      <c r="S19" s="22" t="s">
        <v>16</v>
      </c>
      <c r="T19" s="22"/>
      <c r="U19" s="22"/>
      <c r="V19" s="22"/>
      <c r="W19" s="22"/>
      <c r="X19" s="23" t="str">
        <f ca="1">'Machine Swap Log'!S3</f>
        <v>PBWAXW1</v>
      </c>
      <c r="Y19" s="23"/>
      <c r="Z19" s="23"/>
      <c r="AA19" s="23"/>
      <c r="AB19" s="23"/>
    </row>
    <row r="20" spans="1:28" ht="45" customHeight="1" x14ac:dyDescent="0.25"/>
    <row r="21" spans="1:28" ht="21" customHeight="1" x14ac:dyDescent="0.35">
      <c r="A21" s="2" t="s">
        <v>2</v>
      </c>
      <c r="G21" s="22" t="s">
        <v>17</v>
      </c>
      <c r="H21" s="22"/>
      <c r="I21" s="22"/>
      <c r="J21" s="22"/>
      <c r="K21" s="22"/>
      <c r="L21" s="22"/>
      <c r="M21" s="22"/>
      <c r="N21" s="22"/>
      <c r="O21" s="23" t="str">
        <f ca="1">'Machine Swap Log'!N3</f>
        <v>Dan-Joe Lopez</v>
      </c>
      <c r="P21" s="23"/>
      <c r="Q21" s="23"/>
      <c r="R21" s="23"/>
      <c r="S21" s="23"/>
      <c r="T21" s="23"/>
      <c r="U21" s="23"/>
      <c r="V21" s="23"/>
      <c r="W21" s="23"/>
      <c r="X21" s="23"/>
    </row>
    <row r="22" spans="1:28" x14ac:dyDescent="0.25">
      <c r="A22" s="2" t="s">
        <v>0</v>
      </c>
    </row>
    <row r="23" spans="1:28" x14ac:dyDescent="0.25">
      <c r="A23" s="2" t="s">
        <v>1</v>
      </c>
      <c r="O23" s="2" t="s">
        <v>32</v>
      </c>
    </row>
    <row r="24" spans="1:28" x14ac:dyDescent="0.25">
      <c r="O24" s="2" t="s">
        <v>33</v>
      </c>
    </row>
    <row r="25" spans="1:28" x14ac:dyDescent="0.25">
      <c r="O25" s="2" t="s">
        <v>34</v>
      </c>
    </row>
    <row r="26" spans="1:28" x14ac:dyDescent="0.25">
      <c r="O26" s="2" t="s">
        <v>35</v>
      </c>
    </row>
    <row r="27" spans="1:28" x14ac:dyDescent="0.25">
      <c r="O27" s="2" t="s">
        <v>36</v>
      </c>
    </row>
  </sheetData>
  <dataConsolidate/>
  <mergeCells count="25">
    <mergeCell ref="E7:P7"/>
    <mergeCell ref="R7:Z7"/>
    <mergeCell ref="I2:U2"/>
    <mergeCell ref="E3:H4"/>
    <mergeCell ref="B4:C4"/>
    <mergeCell ref="N4:R4"/>
    <mergeCell ref="X4:AA4"/>
    <mergeCell ref="H9:P9"/>
    <mergeCell ref="R9:Y9"/>
    <mergeCell ref="H11:P11"/>
    <mergeCell ref="R11:Y11"/>
    <mergeCell ref="H13:P13"/>
    <mergeCell ref="R13:Y13"/>
    <mergeCell ref="C19:E19"/>
    <mergeCell ref="F19:K19"/>
    <mergeCell ref="M19:O19"/>
    <mergeCell ref="P19:R19"/>
    <mergeCell ref="S19:W19"/>
    <mergeCell ref="G21:N21"/>
    <mergeCell ref="O21:X21"/>
    <mergeCell ref="H15:P15"/>
    <mergeCell ref="R15:Y15"/>
    <mergeCell ref="H17:P17"/>
    <mergeCell ref="R17:Y17"/>
    <mergeCell ref="X19:AB19"/>
  </mergeCells>
  <dataValidations count="3">
    <dataValidation type="list" allowBlank="1" showInputMessage="1" sqref="O21:X21">
      <formula1>$O$23:$O$27</formula1>
    </dataValidation>
    <dataValidation type="list" allowBlank="1" showInputMessage="1" sqref="F19:K19">
      <formula1>$A$1:$A$20</formula1>
    </dataValidation>
    <dataValidation type="list" allowBlank="1" showInputMessage="1" showErrorMessage="1" sqref="I2:U2">
      <formula1>Holds</formula1>
    </dataValidation>
  </dataValidations>
  <printOptions horizontalCentered="1" verticalCentered="1"/>
  <pageMargins left="0" right="0" top="0" bottom="0" header="0" footer="0"/>
  <pageSetup orientation="landscape" r:id="rId1"/>
  <headerFooter scaleWithDoc="0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10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19</xdr:col>
                    <xdr:colOff>9525</xdr:colOff>
                    <xdr:row>3</xdr:row>
                    <xdr:rowOff>9525</xdr:rowOff>
                  </from>
                  <to>
                    <xdr:col>20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27</xdr:col>
                    <xdr:colOff>9525</xdr:colOff>
                    <xdr:row>3</xdr:row>
                    <xdr:rowOff>9525</xdr:rowOff>
                  </from>
                  <to>
                    <xdr:col>28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1"/>
  <sheetViews>
    <sheetView view="pageLayout" zoomScaleNormal="100" workbookViewId="0">
      <selection activeCell="F19" sqref="F19:K19"/>
    </sheetView>
  </sheetViews>
  <sheetFormatPr defaultRowHeight="15" x14ac:dyDescent="0.25"/>
  <cols>
    <col min="1" max="1" width="4.85546875" style="2" customWidth="1"/>
    <col min="3" max="4" width="6.7109375" customWidth="1"/>
    <col min="5" max="5" width="3" customWidth="1"/>
    <col min="6" max="6" width="2.85546875" customWidth="1"/>
    <col min="7" max="7" width="3" customWidth="1"/>
    <col min="8" max="8" width="5.85546875" customWidth="1"/>
    <col min="9" max="9" width="0.5703125" customWidth="1"/>
    <col min="10" max="10" width="3.140625" customWidth="1"/>
    <col min="11" max="11" width="2.7109375" customWidth="1"/>
    <col min="12" max="12" width="1.7109375" customWidth="1"/>
    <col min="13" max="13" width="5.42578125" customWidth="1"/>
    <col min="14" max="14" width="3.28515625" customWidth="1"/>
    <col min="15" max="15" width="6.5703125" customWidth="1"/>
    <col min="16" max="16" width="7.28515625" customWidth="1"/>
    <col min="17" max="17" width="2.140625" customWidth="1"/>
    <col min="18" max="18" width="5.28515625" customWidth="1"/>
    <col min="19" max="19" width="1.140625" customWidth="1"/>
    <col min="20" max="20" width="3.140625" customWidth="1"/>
    <col min="21" max="21" width="1" customWidth="1"/>
    <col min="22" max="22" width="7.28515625" customWidth="1"/>
    <col min="23" max="23" width="2.42578125" customWidth="1"/>
    <col min="24" max="24" width="1" customWidth="1"/>
    <col min="25" max="25" width="5.85546875" customWidth="1"/>
    <col min="26" max="26" width="8.85546875" customWidth="1"/>
    <col min="27" max="27" width="8.7109375" customWidth="1"/>
    <col min="28" max="28" width="3.140625" customWidth="1"/>
  </cols>
  <sheetData>
    <row r="1" spans="2:29" ht="36" customHeight="1" x14ac:dyDescent="0.25"/>
    <row r="2" spans="2:29" ht="48" customHeight="1" x14ac:dyDescent="0.8">
      <c r="I2" s="28" t="s">
        <v>2</v>
      </c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</row>
    <row r="3" spans="2:29" ht="6" customHeight="1" x14ac:dyDescent="0.25">
      <c r="E3" s="29" t="s">
        <v>38</v>
      </c>
      <c r="F3" s="29"/>
      <c r="G3" s="29"/>
      <c r="H3" s="29"/>
    </row>
    <row r="4" spans="2:29" s="1" customFormat="1" ht="18" customHeight="1" x14ac:dyDescent="0.25">
      <c r="B4" s="30" t="s">
        <v>37</v>
      </c>
      <c r="C4" s="30"/>
      <c r="D4" s="8"/>
      <c r="E4" s="29"/>
      <c r="F4" s="29"/>
      <c r="G4" s="29"/>
      <c r="H4" s="29"/>
      <c r="I4" s="9"/>
      <c r="J4" s="7"/>
      <c r="K4" s="9"/>
      <c r="L4" s="9"/>
      <c r="M4" s="9"/>
      <c r="N4" s="31" t="s">
        <v>3</v>
      </c>
      <c r="O4" s="31"/>
      <c r="P4" s="31"/>
      <c r="Q4" s="31"/>
      <c r="R4" s="31"/>
      <c r="S4" s="9"/>
      <c r="T4" s="7"/>
      <c r="U4" s="9"/>
      <c r="V4" s="9"/>
      <c r="W4" s="9"/>
      <c r="X4" s="31" t="s">
        <v>4</v>
      </c>
      <c r="Y4" s="31"/>
      <c r="Z4" s="31"/>
      <c r="AA4" s="31"/>
      <c r="AB4" s="7"/>
      <c r="AC4" s="9"/>
    </row>
    <row r="5" spans="2:29" ht="18" customHeight="1" x14ac:dyDescent="0.25">
      <c r="B5" s="3"/>
      <c r="C5" s="3"/>
      <c r="D5" s="3"/>
      <c r="E5" s="4"/>
      <c r="F5" s="4"/>
      <c r="G5" s="4"/>
      <c r="H5" s="4"/>
      <c r="J5" s="5"/>
      <c r="N5" s="6"/>
      <c r="O5" s="6"/>
      <c r="P5" s="6"/>
      <c r="Q5" s="6"/>
      <c r="R5" s="6"/>
      <c r="T5" s="5"/>
      <c r="X5" s="6"/>
      <c r="Y5" s="6"/>
      <c r="Z5" s="6"/>
      <c r="AA5" s="6"/>
      <c r="AB5" s="5"/>
    </row>
    <row r="6" spans="2:29" ht="24" customHeight="1" x14ac:dyDescent="0.25"/>
    <row r="7" spans="2:29" ht="34.5" customHeight="1" x14ac:dyDescent="0.55000000000000004">
      <c r="E7" s="26" t="s">
        <v>5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R7" s="27">
        <v>8000761913</v>
      </c>
      <c r="S7" s="27"/>
      <c r="T7" s="27"/>
      <c r="U7" s="27"/>
      <c r="V7" s="27"/>
      <c r="W7" s="27"/>
      <c r="X7" s="27"/>
      <c r="Y7" s="27"/>
      <c r="Z7" s="27"/>
    </row>
    <row r="8" spans="2:29" ht="30.75" customHeight="1" x14ac:dyDescent="0.25"/>
    <row r="9" spans="2:29" ht="20.25" customHeight="1" x14ac:dyDescent="0.35">
      <c r="H9" s="24" t="s">
        <v>6</v>
      </c>
      <c r="I9" s="24"/>
      <c r="J9" s="24"/>
      <c r="K9" s="24"/>
      <c r="L9" s="24"/>
      <c r="M9" s="24"/>
      <c r="N9" s="24"/>
      <c r="O9" s="24"/>
      <c r="P9" s="24"/>
      <c r="R9" s="23"/>
      <c r="S9" s="23"/>
      <c r="T9" s="23"/>
      <c r="U9" s="23"/>
      <c r="V9" s="23"/>
      <c r="W9" s="23"/>
      <c r="X9" s="23"/>
      <c r="Y9" s="23"/>
    </row>
    <row r="10" spans="2:29" ht="12.75" customHeight="1" x14ac:dyDescent="0.25"/>
    <row r="11" spans="2:29" ht="21.75" customHeight="1" x14ac:dyDescent="0.35">
      <c r="H11" s="24" t="s">
        <v>7</v>
      </c>
      <c r="I11" s="24"/>
      <c r="J11" s="24"/>
      <c r="K11" s="24"/>
      <c r="L11" s="24"/>
      <c r="M11" s="24"/>
      <c r="N11" s="24"/>
      <c r="O11" s="24"/>
      <c r="P11" s="24"/>
      <c r="R11" s="23"/>
      <c r="S11" s="23"/>
      <c r="T11" s="23"/>
      <c r="U11" s="23"/>
      <c r="V11" s="23"/>
      <c r="W11" s="23"/>
      <c r="X11" s="23"/>
      <c r="Y11" s="23"/>
    </row>
    <row r="12" spans="2:29" ht="11.25" customHeight="1" x14ac:dyDescent="0.25"/>
    <row r="13" spans="2:29" ht="20.25" customHeight="1" x14ac:dyDescent="0.35">
      <c r="H13" s="24" t="s">
        <v>8</v>
      </c>
      <c r="I13" s="24"/>
      <c r="J13" s="24"/>
      <c r="K13" s="24"/>
      <c r="L13" s="24"/>
      <c r="M13" s="24"/>
      <c r="N13" s="24"/>
      <c r="O13" s="24"/>
      <c r="P13" s="24"/>
      <c r="R13" s="25"/>
      <c r="S13" s="25"/>
      <c r="T13" s="25"/>
      <c r="U13" s="25"/>
      <c r="V13" s="25"/>
      <c r="W13" s="25"/>
      <c r="X13" s="25"/>
      <c r="Y13" s="25"/>
    </row>
    <row r="14" spans="2:29" ht="13.5" customHeight="1" x14ac:dyDescent="0.25"/>
    <row r="15" spans="2:29" ht="21" customHeight="1" x14ac:dyDescent="0.35">
      <c r="H15" s="24" t="s">
        <v>9</v>
      </c>
      <c r="I15" s="24"/>
      <c r="J15" s="24"/>
      <c r="K15" s="24"/>
      <c r="L15" s="24"/>
      <c r="M15" s="24"/>
      <c r="N15" s="24"/>
      <c r="O15" s="24"/>
      <c r="P15" s="24"/>
      <c r="R15" s="25">
        <f ca="1">TODAY()</f>
        <v>41879</v>
      </c>
      <c r="S15" s="25"/>
      <c r="T15" s="25"/>
      <c r="U15" s="25"/>
      <c r="V15" s="25"/>
      <c r="W15" s="25"/>
      <c r="X15" s="25"/>
      <c r="Y15" s="25"/>
    </row>
    <row r="16" spans="2:29" ht="9.75" customHeight="1" x14ac:dyDescent="0.25"/>
    <row r="17" spans="3:28" ht="22.5" customHeight="1" x14ac:dyDescent="0.35">
      <c r="H17" s="24" t="s">
        <v>10</v>
      </c>
      <c r="I17" s="24"/>
      <c r="J17" s="24"/>
      <c r="K17" s="24"/>
      <c r="L17" s="24"/>
      <c r="M17" s="24"/>
      <c r="N17" s="24"/>
      <c r="O17" s="24"/>
      <c r="P17" s="24"/>
      <c r="R17" s="25">
        <f ca="1">IF(I2=Ranges!C2,R15+7,IF(I2=Ranges!C3,R13+14,""))</f>
        <v>41886</v>
      </c>
      <c r="S17" s="25"/>
      <c r="T17" s="25"/>
      <c r="U17" s="25"/>
      <c r="V17" s="25"/>
      <c r="W17" s="25"/>
      <c r="X17" s="25"/>
      <c r="Y17" s="25"/>
    </row>
    <row r="18" spans="3:28" ht="43.5" customHeight="1" x14ac:dyDescent="0.25"/>
    <row r="19" spans="3:28" ht="21" customHeight="1" x14ac:dyDescent="0.35">
      <c r="C19" s="24" t="s">
        <v>14</v>
      </c>
      <c r="D19" s="24"/>
      <c r="E19" s="24"/>
      <c r="F19" s="23" t="s">
        <v>12</v>
      </c>
      <c r="G19" s="23"/>
      <c r="H19" s="23"/>
      <c r="I19" s="23"/>
      <c r="J19" s="23"/>
      <c r="K19" s="23"/>
      <c r="M19" s="22" t="s">
        <v>15</v>
      </c>
      <c r="N19" s="22"/>
      <c r="O19" s="22"/>
      <c r="P19" s="23"/>
      <c r="Q19" s="23"/>
      <c r="R19" s="23"/>
      <c r="S19" s="22" t="s">
        <v>16</v>
      </c>
      <c r="T19" s="22"/>
      <c r="U19" s="22"/>
      <c r="V19" s="22"/>
      <c r="W19" s="22"/>
      <c r="X19" s="23"/>
      <c r="Y19" s="23"/>
      <c r="Z19" s="23"/>
      <c r="AA19" s="23"/>
      <c r="AB19" s="23"/>
    </row>
    <row r="20" spans="3:28" ht="45" customHeight="1" x14ac:dyDescent="0.25"/>
    <row r="21" spans="3:28" ht="21" customHeight="1" x14ac:dyDescent="0.35">
      <c r="G21" s="22" t="s">
        <v>17</v>
      </c>
      <c r="H21" s="22"/>
      <c r="I21" s="22"/>
      <c r="J21" s="22"/>
      <c r="K21" s="22"/>
      <c r="L21" s="22"/>
      <c r="M21" s="22"/>
      <c r="N21" s="22"/>
      <c r="O21" s="23" t="s">
        <v>32</v>
      </c>
      <c r="P21" s="23"/>
      <c r="Q21" s="23"/>
      <c r="R21" s="23"/>
      <c r="S21" s="23"/>
      <c r="T21" s="23"/>
      <c r="U21" s="23"/>
      <c r="V21" s="23"/>
      <c r="W21" s="23"/>
      <c r="X21" s="23"/>
    </row>
  </sheetData>
  <dataConsolidate/>
  <mergeCells count="25">
    <mergeCell ref="B4:C4"/>
    <mergeCell ref="O21:X21"/>
    <mergeCell ref="X19:AB19"/>
    <mergeCell ref="F19:K19"/>
    <mergeCell ref="P19:R19"/>
    <mergeCell ref="G21:N21"/>
    <mergeCell ref="C19:E19"/>
    <mergeCell ref="M19:O19"/>
    <mergeCell ref="H9:P9"/>
    <mergeCell ref="H11:P11"/>
    <mergeCell ref="H13:P13"/>
    <mergeCell ref="H15:P15"/>
    <mergeCell ref="H17:P17"/>
    <mergeCell ref="S19:W19"/>
    <mergeCell ref="R9:Y9"/>
    <mergeCell ref="R11:Y11"/>
    <mergeCell ref="R13:Y13"/>
    <mergeCell ref="R15:Y15"/>
    <mergeCell ref="R17:Y17"/>
    <mergeCell ref="I2:U2"/>
    <mergeCell ref="N4:R4"/>
    <mergeCell ref="E7:P7"/>
    <mergeCell ref="R7:Z7"/>
    <mergeCell ref="E3:H4"/>
    <mergeCell ref="X4:AA4"/>
  </mergeCells>
  <dataValidations count="3">
    <dataValidation type="list" allowBlank="1" showInputMessage="1" showErrorMessage="1" sqref="I2:U2">
      <formula1>Holds</formula1>
    </dataValidation>
    <dataValidation type="list" allowBlank="1" showInputMessage="1" showErrorMessage="1" sqref="F19:K19">
      <formula1>Models</formula1>
    </dataValidation>
    <dataValidation type="list" allowBlank="1" showInputMessage="1" showErrorMessage="1" sqref="O21:X21">
      <formula1>Technicians</formula1>
    </dataValidation>
  </dataValidations>
  <printOptions horizontalCentered="1" verticalCentered="1"/>
  <pageMargins left="0" right="0" top="0" bottom="0" header="0" footer="0"/>
  <pageSetup orientation="landscape" r:id="rId1"/>
  <headerFooter scaleWithDoc="0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10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19</xdr:col>
                    <xdr:colOff>9525</xdr:colOff>
                    <xdr:row>3</xdr:row>
                    <xdr:rowOff>9525</xdr:rowOff>
                  </from>
                  <to>
                    <xdr:col>20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27</xdr:col>
                    <xdr:colOff>9525</xdr:colOff>
                    <xdr:row>3</xdr:row>
                    <xdr:rowOff>9525</xdr:rowOff>
                  </from>
                  <to>
                    <xdr:col>28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7"/>
  <sheetViews>
    <sheetView workbookViewId="0">
      <selection activeCell="C2" sqref="C2:C4"/>
    </sheetView>
  </sheetViews>
  <sheetFormatPr defaultRowHeight="15" x14ac:dyDescent="0.25"/>
  <sheetData>
    <row r="1" spans="1:3" x14ac:dyDescent="0.25">
      <c r="A1" t="s">
        <v>58</v>
      </c>
      <c r="B1" t="s">
        <v>59</v>
      </c>
      <c r="C1" t="s">
        <v>60</v>
      </c>
    </row>
    <row r="2" spans="1:3" x14ac:dyDescent="0.25">
      <c r="A2" s="1" t="s">
        <v>12</v>
      </c>
      <c r="B2" s="1" t="s">
        <v>32</v>
      </c>
      <c r="C2" s="1" t="s">
        <v>2</v>
      </c>
    </row>
    <row r="3" spans="1:3" x14ac:dyDescent="0.25">
      <c r="A3" s="1" t="s">
        <v>13</v>
      </c>
      <c r="B3" s="1" t="s">
        <v>33</v>
      </c>
      <c r="C3" s="1" t="s">
        <v>0</v>
      </c>
    </row>
    <row r="4" spans="1:3" x14ac:dyDescent="0.25">
      <c r="A4" s="1" t="s">
        <v>18</v>
      </c>
      <c r="B4" s="1" t="s">
        <v>34</v>
      </c>
      <c r="C4" s="1" t="s">
        <v>1</v>
      </c>
    </row>
    <row r="5" spans="1:3" x14ac:dyDescent="0.25">
      <c r="A5" s="10" t="s">
        <v>19</v>
      </c>
      <c r="B5" s="1" t="s">
        <v>35</v>
      </c>
    </row>
    <row r="6" spans="1:3" x14ac:dyDescent="0.25">
      <c r="A6" s="1" t="s">
        <v>20</v>
      </c>
      <c r="B6" s="1" t="s">
        <v>36</v>
      </c>
    </row>
    <row r="7" spans="1:3" x14ac:dyDescent="0.25">
      <c r="A7" s="1" t="s">
        <v>21</v>
      </c>
    </row>
    <row r="8" spans="1:3" x14ac:dyDescent="0.25">
      <c r="A8" s="1" t="s">
        <v>22</v>
      </c>
    </row>
    <row r="9" spans="1:3" x14ac:dyDescent="0.25">
      <c r="A9" s="1" t="s">
        <v>23</v>
      </c>
    </row>
    <row r="10" spans="1:3" x14ac:dyDescent="0.25">
      <c r="A10" s="1" t="s">
        <v>24</v>
      </c>
    </row>
    <row r="11" spans="1:3" x14ac:dyDescent="0.25">
      <c r="A11" s="1" t="s">
        <v>25</v>
      </c>
    </row>
    <row r="12" spans="1:3" x14ac:dyDescent="0.25">
      <c r="A12" s="1" t="s">
        <v>26</v>
      </c>
    </row>
    <row r="13" spans="1:3" x14ac:dyDescent="0.25">
      <c r="A13" s="1" t="s">
        <v>27</v>
      </c>
    </row>
    <row r="14" spans="1:3" x14ac:dyDescent="0.25">
      <c r="A14" s="1" t="s">
        <v>28</v>
      </c>
    </row>
    <row r="15" spans="1:3" x14ac:dyDescent="0.25">
      <c r="A15" s="1" t="s">
        <v>29</v>
      </c>
    </row>
    <row r="16" spans="1:3" x14ac:dyDescent="0.25">
      <c r="A16" s="1" t="s">
        <v>30</v>
      </c>
    </row>
    <row r="17" spans="1:1" x14ac:dyDescent="0.25">
      <c r="A17" s="1" t="s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76"/>
  <sheetViews>
    <sheetView topLeftCell="A180" zoomScale="130" zoomScaleNormal="130" workbookViewId="0">
      <selection activeCell="A182" sqref="A182"/>
    </sheetView>
  </sheetViews>
  <sheetFormatPr defaultColWidth="9.140625" defaultRowHeight="15" x14ac:dyDescent="0.25"/>
  <cols>
    <col min="1" max="1" width="11.5703125" style="15" bestFit="1" customWidth="1"/>
    <col min="2" max="2" width="16.140625" style="16" bestFit="1" customWidth="1"/>
    <col min="3" max="3" width="16.85546875" style="16" bestFit="1" customWidth="1"/>
    <col min="4" max="4" width="9.140625" style="16"/>
    <col min="5" max="5" width="20" style="16" bestFit="1" customWidth="1"/>
    <col min="6" max="13" width="9.140625" style="16"/>
    <col min="14" max="14" width="14.140625" style="16" bestFit="1" customWidth="1"/>
    <col min="15" max="15" width="17" style="16" bestFit="1" customWidth="1"/>
    <col min="16" max="16384" width="9.140625" style="16"/>
  </cols>
  <sheetData>
    <row r="1" spans="1:15" x14ac:dyDescent="0.25">
      <c r="A1" s="15" t="s">
        <v>66</v>
      </c>
      <c r="B1" s="16" t="s">
        <v>67</v>
      </c>
      <c r="C1" s="16" t="s">
        <v>68</v>
      </c>
      <c r="D1" s="16" t="s">
        <v>11</v>
      </c>
      <c r="E1" s="16" t="s">
        <v>69</v>
      </c>
      <c r="N1" s="32" t="s">
        <v>70</v>
      </c>
      <c r="O1" s="32"/>
    </row>
    <row r="2" spans="1:15" x14ac:dyDescent="0.25">
      <c r="A2" s="15">
        <v>527872</v>
      </c>
      <c r="B2" s="16" t="s">
        <v>71</v>
      </c>
      <c r="C2" s="16" t="s">
        <v>72</v>
      </c>
      <c r="D2" s="16" t="s">
        <v>19</v>
      </c>
      <c r="E2" s="16" t="s">
        <v>73</v>
      </c>
      <c r="N2" s="17" t="s">
        <v>74</v>
      </c>
      <c r="O2" s="17" t="s">
        <v>75</v>
      </c>
    </row>
    <row r="3" spans="1:15" x14ac:dyDescent="0.25">
      <c r="A3" s="15">
        <v>527927</v>
      </c>
      <c r="B3" s="16" t="s">
        <v>76</v>
      </c>
      <c r="C3" s="16" t="s">
        <v>77</v>
      </c>
      <c r="D3" s="16" t="s">
        <v>19</v>
      </c>
      <c r="E3" s="16" t="s">
        <v>78</v>
      </c>
      <c r="N3" s="18" t="s">
        <v>79</v>
      </c>
      <c r="O3" s="17" t="str">
        <f>MID(N3,1,2)&amp;":"&amp;MID(N3,3,2)&amp;":"&amp;MID(N3,5,2)&amp;":"&amp;MID(N3,7,2)&amp;":"&amp;MID(N3,9,2)&amp;":"&amp;MID(N3,11,2)</f>
        <v>00:21:CC:C3:F6:9F</v>
      </c>
    </row>
    <row r="4" spans="1:15" x14ac:dyDescent="0.25">
      <c r="A4" s="15">
        <v>527936</v>
      </c>
      <c r="B4" s="16" t="s">
        <v>80</v>
      </c>
      <c r="C4" s="16" t="s">
        <v>81</v>
      </c>
      <c r="D4" s="16" t="s">
        <v>19</v>
      </c>
      <c r="E4" s="16" t="s">
        <v>78</v>
      </c>
      <c r="N4" s="19" t="s">
        <v>82</v>
      </c>
      <c r="O4" s="17" t="str">
        <f>MID(N4,1,2)&amp;":"&amp;MID(N4,3,2)&amp;":"&amp;MID(N4,5,2)&amp;":"&amp;MID(N4,7,2)&amp;":"&amp;MID(N4,9,2)&amp;":"&amp;MID(N4,11,2)</f>
        <v>00:21:CC:C3:DF:85</v>
      </c>
    </row>
    <row r="5" spans="1:15" x14ac:dyDescent="0.25">
      <c r="A5" s="15">
        <v>527986</v>
      </c>
      <c r="B5" s="16" t="s">
        <v>83</v>
      </c>
      <c r="C5" s="16" t="s">
        <v>84</v>
      </c>
      <c r="D5" s="16" t="s">
        <v>19</v>
      </c>
      <c r="E5" s="16" t="s">
        <v>78</v>
      </c>
      <c r="N5" s="19" t="s">
        <v>85</v>
      </c>
      <c r="O5" s="17" t="str">
        <f>MID(N5,1,2)&amp;":"&amp;MID(N5,3,2)&amp;":"&amp;MID(N5,5,2)&amp;":"&amp;MID(N5,7,2)&amp;":"&amp;MID(N5,9,2)&amp;":"&amp;MID(N5,11,2)</f>
        <v>00:21:CC:C3:DF:33</v>
      </c>
    </row>
    <row r="6" spans="1:15" x14ac:dyDescent="0.25">
      <c r="A6" s="15">
        <v>528003</v>
      </c>
      <c r="B6" s="16" t="s">
        <v>86</v>
      </c>
      <c r="C6" s="16" t="s">
        <v>87</v>
      </c>
      <c r="D6" s="16" t="s">
        <v>19</v>
      </c>
      <c r="E6" s="16" t="s">
        <v>78</v>
      </c>
      <c r="N6" s="18" t="s">
        <v>88</v>
      </c>
      <c r="O6" s="17" t="str">
        <f>MID(N6,1,2)&amp;":"&amp;MID(N6,3,2)&amp;":"&amp;MID(N6,5,2)&amp;":"&amp;MID(N6,7,2)&amp;":"&amp;MID(N6,9,2)&amp;":"&amp;MID(N6,11,2)</f>
        <v>00:21:CC:C2:9B:12</v>
      </c>
    </row>
    <row r="7" spans="1:15" x14ac:dyDescent="0.25">
      <c r="A7" s="15">
        <v>528005</v>
      </c>
      <c r="B7" s="16" t="s">
        <v>89</v>
      </c>
      <c r="C7" s="16" t="s">
        <v>90</v>
      </c>
      <c r="D7" s="16" t="s">
        <v>19</v>
      </c>
      <c r="E7" s="16" t="s">
        <v>78</v>
      </c>
      <c r="N7" s="19" t="s">
        <v>91</v>
      </c>
      <c r="O7" s="17" t="str">
        <f t="shared" ref="O7:O9" si="0">MID(N7,1,2)&amp;":"&amp;MID(N7,3,2)&amp;":"&amp;MID(N7,5,2)&amp;":"&amp;MID(N7,7,2)&amp;":"&amp;MID(N7,9,2)&amp;":"&amp;MID(N7,11,2)</f>
        <v>2C:41:38:4F:9B:56</v>
      </c>
    </row>
    <row r="8" spans="1:15" x14ac:dyDescent="0.25">
      <c r="A8" s="15">
        <v>528014</v>
      </c>
      <c r="B8" s="16" t="s">
        <v>92</v>
      </c>
      <c r="C8" s="16" t="s">
        <v>93</v>
      </c>
      <c r="D8" s="16" t="s">
        <v>19</v>
      </c>
      <c r="E8" s="16" t="s">
        <v>78</v>
      </c>
      <c r="N8" s="18" t="s">
        <v>94</v>
      </c>
      <c r="O8" s="17" t="str">
        <f t="shared" si="0"/>
        <v>D8:9D:67:C6:B3:B8</v>
      </c>
    </row>
    <row r="9" spans="1:15" x14ac:dyDescent="0.25">
      <c r="A9" s="15">
        <v>530149</v>
      </c>
      <c r="B9" s="16" t="s">
        <v>95</v>
      </c>
      <c r="C9" s="16" t="s">
        <v>96</v>
      </c>
      <c r="D9" s="16" t="s">
        <v>19</v>
      </c>
      <c r="E9" s="16" t="s">
        <v>97</v>
      </c>
      <c r="N9" s="19" t="s">
        <v>98</v>
      </c>
      <c r="O9" s="17" t="str">
        <f t="shared" si="0"/>
        <v>3C:97:0E:01:67:F8</v>
      </c>
    </row>
    <row r="10" spans="1:15" x14ac:dyDescent="0.25">
      <c r="A10" s="15">
        <v>531398</v>
      </c>
      <c r="B10" s="16" t="s">
        <v>99</v>
      </c>
      <c r="C10" s="16" t="s">
        <v>100</v>
      </c>
      <c r="D10" s="16" t="s">
        <v>19</v>
      </c>
      <c r="E10" s="16" t="s">
        <v>78</v>
      </c>
    </row>
    <row r="11" spans="1:15" x14ac:dyDescent="0.25">
      <c r="A11" s="15">
        <v>531412</v>
      </c>
      <c r="B11" s="16" t="s">
        <v>101</v>
      </c>
      <c r="C11" s="16" t="s">
        <v>102</v>
      </c>
      <c r="D11" s="16" t="s">
        <v>19</v>
      </c>
      <c r="E11" s="16" t="s">
        <v>78</v>
      </c>
    </row>
    <row r="12" spans="1:15" x14ac:dyDescent="0.25">
      <c r="A12" s="15">
        <v>531516</v>
      </c>
      <c r="B12" s="16" t="s">
        <v>103</v>
      </c>
      <c r="C12" s="16" t="s">
        <v>104</v>
      </c>
      <c r="D12" s="16" t="s">
        <v>19</v>
      </c>
      <c r="E12" s="16" t="s">
        <v>78</v>
      </c>
    </row>
    <row r="13" spans="1:15" x14ac:dyDescent="0.25">
      <c r="A13" s="15">
        <v>531525</v>
      </c>
      <c r="B13" s="16" t="s">
        <v>105</v>
      </c>
      <c r="C13" s="16" t="s">
        <v>106</v>
      </c>
      <c r="D13" s="16" t="s">
        <v>19</v>
      </c>
      <c r="E13" s="16" t="s">
        <v>78</v>
      </c>
    </row>
    <row r="14" spans="1:15" x14ac:dyDescent="0.25">
      <c r="A14" s="15">
        <v>531525</v>
      </c>
      <c r="B14" s="16" t="s">
        <v>105</v>
      </c>
      <c r="C14" s="16" t="s">
        <v>106</v>
      </c>
      <c r="D14" s="16" t="s">
        <v>19</v>
      </c>
      <c r="E14" s="16" t="s">
        <v>78</v>
      </c>
    </row>
    <row r="15" spans="1:15" x14ac:dyDescent="0.25">
      <c r="A15" s="15">
        <v>531532</v>
      </c>
      <c r="B15" s="16" t="s">
        <v>107</v>
      </c>
      <c r="C15" s="16" t="s">
        <v>108</v>
      </c>
      <c r="D15" s="16" t="s">
        <v>19</v>
      </c>
      <c r="E15" s="16" t="s">
        <v>78</v>
      </c>
    </row>
    <row r="16" spans="1:15" x14ac:dyDescent="0.25">
      <c r="A16" s="15">
        <v>531548</v>
      </c>
      <c r="B16" s="16" t="s">
        <v>109</v>
      </c>
      <c r="C16" s="16" t="s">
        <v>110</v>
      </c>
      <c r="D16" s="16" t="s">
        <v>19</v>
      </c>
      <c r="E16" s="16" t="s">
        <v>78</v>
      </c>
    </row>
    <row r="17" spans="1:15" x14ac:dyDescent="0.25">
      <c r="A17" s="15">
        <v>531548</v>
      </c>
      <c r="B17" s="16" t="s">
        <v>109</v>
      </c>
      <c r="C17" s="16" t="s">
        <v>110</v>
      </c>
      <c r="D17" s="16" t="s">
        <v>19</v>
      </c>
      <c r="E17" s="16" t="s">
        <v>78</v>
      </c>
    </row>
    <row r="18" spans="1:15" x14ac:dyDescent="0.25">
      <c r="A18" s="15">
        <v>531572</v>
      </c>
      <c r="B18" s="16" t="s">
        <v>111</v>
      </c>
      <c r="C18" s="16" t="s">
        <v>112</v>
      </c>
      <c r="D18" s="16" t="s">
        <v>19</v>
      </c>
      <c r="E18" s="16" t="s">
        <v>78</v>
      </c>
    </row>
    <row r="19" spans="1:15" x14ac:dyDescent="0.25">
      <c r="A19" s="15">
        <v>531601</v>
      </c>
      <c r="B19" s="16" t="s">
        <v>113</v>
      </c>
      <c r="C19" s="16" t="s">
        <v>114</v>
      </c>
      <c r="D19" s="16" t="s">
        <v>19</v>
      </c>
      <c r="E19" s="16" t="s">
        <v>73</v>
      </c>
    </row>
    <row r="20" spans="1:15" x14ac:dyDescent="0.25">
      <c r="A20" s="15">
        <v>531602</v>
      </c>
      <c r="B20" s="16" t="s">
        <v>115</v>
      </c>
      <c r="C20" s="16" t="s">
        <v>116</v>
      </c>
      <c r="D20" s="16" t="s">
        <v>19</v>
      </c>
      <c r="E20" s="16" t="s">
        <v>78</v>
      </c>
    </row>
    <row r="21" spans="1:15" x14ac:dyDescent="0.25">
      <c r="A21" s="15">
        <v>531603</v>
      </c>
      <c r="B21" s="16" t="s">
        <v>117</v>
      </c>
      <c r="C21" s="16" t="s">
        <v>118</v>
      </c>
      <c r="D21" s="16" t="s">
        <v>19</v>
      </c>
      <c r="E21" s="16" t="s">
        <v>119</v>
      </c>
    </row>
    <row r="22" spans="1:15" x14ac:dyDescent="0.25">
      <c r="A22" s="17">
        <v>531683</v>
      </c>
      <c r="B22" s="16" t="s">
        <v>120</v>
      </c>
      <c r="C22" s="16" t="s">
        <v>121</v>
      </c>
      <c r="D22" s="16" t="s">
        <v>19</v>
      </c>
      <c r="E22" s="16" t="s">
        <v>78</v>
      </c>
    </row>
    <row r="23" spans="1:15" x14ac:dyDescent="0.25">
      <c r="A23" s="15">
        <v>531743</v>
      </c>
      <c r="B23" s="16" t="s">
        <v>122</v>
      </c>
      <c r="C23" s="16" t="s">
        <v>123</v>
      </c>
      <c r="D23" s="16" t="s">
        <v>12</v>
      </c>
      <c r="E23" s="16" t="s">
        <v>78</v>
      </c>
    </row>
    <row r="24" spans="1:15" x14ac:dyDescent="0.25">
      <c r="A24" s="15">
        <v>531752</v>
      </c>
      <c r="B24" s="16" t="s">
        <v>124</v>
      </c>
      <c r="C24" s="16" t="s">
        <v>125</v>
      </c>
      <c r="D24" s="16" t="s">
        <v>12</v>
      </c>
      <c r="E24" s="16" t="s">
        <v>78</v>
      </c>
    </row>
    <row r="25" spans="1:15" x14ac:dyDescent="0.25">
      <c r="A25" s="17">
        <v>531755</v>
      </c>
      <c r="B25" s="16" t="s">
        <v>126</v>
      </c>
      <c r="C25" s="16" t="s">
        <v>127</v>
      </c>
      <c r="D25" s="16" t="s">
        <v>12</v>
      </c>
      <c r="E25" s="16" t="s">
        <v>78</v>
      </c>
    </row>
    <row r="26" spans="1:15" x14ac:dyDescent="0.25">
      <c r="A26" s="15">
        <v>531796</v>
      </c>
      <c r="B26" s="16" t="s">
        <v>128</v>
      </c>
      <c r="C26" s="16" t="s">
        <v>129</v>
      </c>
      <c r="D26" s="16" t="s">
        <v>12</v>
      </c>
      <c r="E26" s="16" t="s">
        <v>78</v>
      </c>
    </row>
    <row r="27" spans="1:15" x14ac:dyDescent="0.25">
      <c r="A27" s="15">
        <v>531812</v>
      </c>
      <c r="B27" s="16" t="s">
        <v>130</v>
      </c>
      <c r="C27" s="16" t="s">
        <v>131</v>
      </c>
      <c r="D27" s="16" t="s">
        <v>12</v>
      </c>
      <c r="E27" s="16" t="s">
        <v>78</v>
      </c>
    </row>
    <row r="28" spans="1:15" x14ac:dyDescent="0.25">
      <c r="A28" s="15">
        <v>531833</v>
      </c>
      <c r="B28" s="16" t="s">
        <v>132</v>
      </c>
      <c r="C28" s="16" t="s">
        <v>133</v>
      </c>
      <c r="D28" s="16" t="s">
        <v>12</v>
      </c>
      <c r="E28" s="16" t="s">
        <v>78</v>
      </c>
      <c r="N28" s="17"/>
      <c r="O28" s="17"/>
    </row>
    <row r="29" spans="1:15" x14ac:dyDescent="0.25">
      <c r="A29" s="15">
        <v>531834</v>
      </c>
      <c r="B29" s="16" t="s">
        <v>134</v>
      </c>
      <c r="C29" s="16" t="s">
        <v>135</v>
      </c>
      <c r="D29" s="16" t="s">
        <v>12</v>
      </c>
      <c r="E29" s="16" t="s">
        <v>78</v>
      </c>
      <c r="N29" s="17"/>
      <c r="O29" s="17"/>
    </row>
    <row r="30" spans="1:15" x14ac:dyDescent="0.25">
      <c r="A30" s="15">
        <v>531836</v>
      </c>
      <c r="B30" s="16" t="s">
        <v>136</v>
      </c>
      <c r="C30" s="16" t="s">
        <v>137</v>
      </c>
      <c r="D30" s="16" t="s">
        <v>12</v>
      </c>
      <c r="E30" s="16" t="s">
        <v>78</v>
      </c>
    </row>
    <row r="31" spans="1:15" x14ac:dyDescent="0.25">
      <c r="A31" s="15">
        <v>531883</v>
      </c>
      <c r="B31" s="16" t="s">
        <v>138</v>
      </c>
      <c r="C31" s="16" t="s">
        <v>139</v>
      </c>
      <c r="D31" s="16" t="s">
        <v>19</v>
      </c>
      <c r="E31" s="16" t="s">
        <v>78</v>
      </c>
    </row>
    <row r="32" spans="1:15" x14ac:dyDescent="0.25">
      <c r="A32" s="15">
        <v>531660</v>
      </c>
      <c r="B32" s="16" t="s">
        <v>140</v>
      </c>
      <c r="C32" s="16" t="s">
        <v>141</v>
      </c>
      <c r="D32" s="16" t="s">
        <v>19</v>
      </c>
      <c r="E32" s="16" t="s">
        <v>78</v>
      </c>
    </row>
    <row r="33" spans="1:5" x14ac:dyDescent="0.25">
      <c r="A33" s="15">
        <v>527933</v>
      </c>
      <c r="B33" s="16" t="s">
        <v>142</v>
      </c>
      <c r="C33" s="16" t="s">
        <v>143</v>
      </c>
      <c r="D33" s="16" t="s">
        <v>19</v>
      </c>
      <c r="E33" s="16" t="s">
        <v>78</v>
      </c>
    </row>
    <row r="34" spans="1:5" x14ac:dyDescent="0.25">
      <c r="A34" s="15">
        <v>531800</v>
      </c>
      <c r="B34" s="16" t="s">
        <v>144</v>
      </c>
      <c r="C34" s="16" t="s">
        <v>145</v>
      </c>
      <c r="D34" s="16" t="s">
        <v>12</v>
      </c>
      <c r="E34" s="16" t="s">
        <v>78</v>
      </c>
    </row>
    <row r="35" spans="1:5" x14ac:dyDescent="0.25">
      <c r="A35" s="15">
        <v>531751</v>
      </c>
      <c r="B35" s="16" t="s">
        <v>146</v>
      </c>
      <c r="C35" s="16" t="s">
        <v>147</v>
      </c>
      <c r="D35" s="16" t="s">
        <v>12</v>
      </c>
      <c r="E35" s="16" t="s">
        <v>78</v>
      </c>
    </row>
    <row r="36" spans="1:5" x14ac:dyDescent="0.25">
      <c r="A36" s="15">
        <v>531696</v>
      </c>
      <c r="B36" s="16" t="s">
        <v>148</v>
      </c>
      <c r="C36" s="16" t="s">
        <v>149</v>
      </c>
      <c r="D36" s="16" t="s">
        <v>22</v>
      </c>
      <c r="E36" s="16" t="s">
        <v>78</v>
      </c>
    </row>
    <row r="37" spans="1:5" x14ac:dyDescent="0.25">
      <c r="A37" s="15">
        <v>510764</v>
      </c>
      <c r="B37" s="16" t="s">
        <v>150</v>
      </c>
      <c r="C37" s="16" t="s">
        <v>151</v>
      </c>
      <c r="D37" s="16" t="s">
        <v>22</v>
      </c>
      <c r="E37" s="16" t="s">
        <v>78</v>
      </c>
    </row>
    <row r="38" spans="1:5" x14ac:dyDescent="0.25">
      <c r="A38" s="15">
        <v>511576</v>
      </c>
      <c r="B38" s="16" t="s">
        <v>152</v>
      </c>
      <c r="C38" s="16" t="s">
        <v>153</v>
      </c>
      <c r="D38" s="16" t="s">
        <v>22</v>
      </c>
      <c r="E38" s="16" t="s">
        <v>78</v>
      </c>
    </row>
    <row r="39" spans="1:5" x14ac:dyDescent="0.25">
      <c r="A39" s="15">
        <v>531718</v>
      </c>
      <c r="B39" s="16" t="s">
        <v>154</v>
      </c>
      <c r="C39" s="16" t="s">
        <v>155</v>
      </c>
      <c r="D39" s="16" t="s">
        <v>22</v>
      </c>
      <c r="E39" s="16" t="s">
        <v>78</v>
      </c>
    </row>
    <row r="40" spans="1:5" x14ac:dyDescent="0.25">
      <c r="A40" s="15">
        <v>535720</v>
      </c>
      <c r="B40" s="16" t="s">
        <v>156</v>
      </c>
      <c r="C40" s="16" t="s">
        <v>157</v>
      </c>
      <c r="D40" s="16" t="s">
        <v>23</v>
      </c>
      <c r="E40" s="16" t="s">
        <v>158</v>
      </c>
    </row>
    <row r="41" spans="1:5" x14ac:dyDescent="0.25">
      <c r="A41" s="15">
        <v>535718</v>
      </c>
      <c r="B41" s="16" t="s">
        <v>159</v>
      </c>
      <c r="C41" s="16" t="s">
        <v>160</v>
      </c>
      <c r="D41" s="16" t="s">
        <v>23</v>
      </c>
      <c r="E41" s="16" t="s">
        <v>158</v>
      </c>
    </row>
    <row r="42" spans="1:5" x14ac:dyDescent="0.25">
      <c r="A42" s="15">
        <v>527911</v>
      </c>
      <c r="B42" s="16" t="s">
        <v>161</v>
      </c>
      <c r="C42" s="16" t="s">
        <v>162</v>
      </c>
      <c r="D42" s="16" t="s">
        <v>19</v>
      </c>
      <c r="E42" s="16" t="s">
        <v>119</v>
      </c>
    </row>
    <row r="43" spans="1:5" x14ac:dyDescent="0.25">
      <c r="A43" s="15">
        <v>531674</v>
      </c>
      <c r="C43" s="16" t="s">
        <v>163</v>
      </c>
      <c r="D43" s="16" t="s">
        <v>19</v>
      </c>
      <c r="E43" s="16" t="s">
        <v>158</v>
      </c>
    </row>
    <row r="44" spans="1:5" x14ac:dyDescent="0.25">
      <c r="A44" s="15">
        <v>531480</v>
      </c>
      <c r="B44" s="16" t="s">
        <v>164</v>
      </c>
      <c r="C44" s="16" t="s">
        <v>165</v>
      </c>
      <c r="D44" s="16" t="s">
        <v>19</v>
      </c>
      <c r="E44" s="16" t="s">
        <v>119</v>
      </c>
    </row>
    <row r="45" spans="1:5" x14ac:dyDescent="0.25">
      <c r="A45" s="15">
        <v>531623</v>
      </c>
      <c r="B45" s="16" t="s">
        <v>166</v>
      </c>
      <c r="C45" s="16" t="s">
        <v>167</v>
      </c>
      <c r="D45" s="16" t="s">
        <v>19</v>
      </c>
      <c r="E45" s="16" t="s">
        <v>78</v>
      </c>
    </row>
    <row r="46" spans="1:5" x14ac:dyDescent="0.25">
      <c r="A46" s="15">
        <v>531440</v>
      </c>
      <c r="B46" s="16" t="s">
        <v>168</v>
      </c>
      <c r="C46" s="16" t="s">
        <v>169</v>
      </c>
      <c r="D46" s="16" t="s">
        <v>19</v>
      </c>
      <c r="E46" s="16" t="s">
        <v>78</v>
      </c>
    </row>
    <row r="47" spans="1:5" x14ac:dyDescent="0.25">
      <c r="A47" s="15">
        <v>524806</v>
      </c>
      <c r="B47" s="16" t="s">
        <v>170</v>
      </c>
      <c r="C47" s="16" t="s">
        <v>171</v>
      </c>
      <c r="D47" s="16" t="s">
        <v>12</v>
      </c>
      <c r="E47" s="16" t="s">
        <v>78</v>
      </c>
    </row>
    <row r="48" spans="1:5" x14ac:dyDescent="0.25">
      <c r="A48" s="15">
        <v>527131</v>
      </c>
      <c r="B48" s="16" t="s">
        <v>172</v>
      </c>
      <c r="C48" s="16" t="s">
        <v>173</v>
      </c>
      <c r="D48" s="16" t="s">
        <v>22</v>
      </c>
      <c r="E48" s="16" t="s">
        <v>78</v>
      </c>
    </row>
    <row r="49" spans="1:5" x14ac:dyDescent="0.25">
      <c r="A49" s="15">
        <v>531629</v>
      </c>
      <c r="B49" s="16" t="s">
        <v>174</v>
      </c>
      <c r="C49" s="16" t="s">
        <v>175</v>
      </c>
      <c r="D49" s="16" t="s">
        <v>19</v>
      </c>
      <c r="E49" s="16" t="s">
        <v>78</v>
      </c>
    </row>
    <row r="50" spans="1:5" x14ac:dyDescent="0.25">
      <c r="A50" s="15">
        <v>528007</v>
      </c>
      <c r="B50" s="16" t="s">
        <v>176</v>
      </c>
      <c r="C50" s="16" t="s">
        <v>177</v>
      </c>
      <c r="D50" s="16" t="s">
        <v>19</v>
      </c>
      <c r="E50" s="16" t="s">
        <v>119</v>
      </c>
    </row>
    <row r="51" spans="1:5" x14ac:dyDescent="0.25">
      <c r="A51" s="15">
        <v>531662</v>
      </c>
      <c r="B51" s="16" t="s">
        <v>178</v>
      </c>
      <c r="C51" s="16" t="s">
        <v>179</v>
      </c>
      <c r="D51" s="16" t="s">
        <v>19</v>
      </c>
      <c r="E51" s="16" t="s">
        <v>119</v>
      </c>
    </row>
    <row r="52" spans="1:5" x14ac:dyDescent="0.25">
      <c r="A52" s="15">
        <v>531481</v>
      </c>
      <c r="B52" s="16" t="s">
        <v>180</v>
      </c>
      <c r="C52" s="16" t="s">
        <v>181</v>
      </c>
      <c r="D52" s="16" t="s">
        <v>19</v>
      </c>
      <c r="E52" s="16" t="s">
        <v>119</v>
      </c>
    </row>
    <row r="53" spans="1:5" x14ac:dyDescent="0.25">
      <c r="A53" s="15">
        <v>531622</v>
      </c>
      <c r="D53" s="16" t="s">
        <v>19</v>
      </c>
    </row>
    <row r="54" spans="1:5" x14ac:dyDescent="0.25">
      <c r="A54" s="15">
        <v>531612</v>
      </c>
      <c r="B54" s="16" t="s">
        <v>182</v>
      </c>
      <c r="C54" s="16" t="s">
        <v>183</v>
      </c>
      <c r="D54" s="16" t="s">
        <v>19</v>
      </c>
      <c r="E54" s="16" t="s">
        <v>184</v>
      </c>
    </row>
    <row r="55" spans="1:5" x14ac:dyDescent="0.25">
      <c r="A55" s="15">
        <v>531454</v>
      </c>
      <c r="C55" s="16" t="s">
        <v>185</v>
      </c>
      <c r="D55" s="16" t="s">
        <v>19</v>
      </c>
      <c r="E55" s="16" t="s">
        <v>158</v>
      </c>
    </row>
    <row r="56" spans="1:5" x14ac:dyDescent="0.25">
      <c r="A56" s="15">
        <v>527873</v>
      </c>
      <c r="B56" s="16" t="s">
        <v>186</v>
      </c>
      <c r="C56" s="16" t="s">
        <v>187</v>
      </c>
      <c r="D56" s="16" t="s">
        <v>19</v>
      </c>
      <c r="E56" s="16" t="s">
        <v>158</v>
      </c>
    </row>
    <row r="57" spans="1:5" x14ac:dyDescent="0.25">
      <c r="A57" s="15">
        <v>527905</v>
      </c>
      <c r="B57" s="16" t="s">
        <v>188</v>
      </c>
      <c r="C57" s="16" t="s">
        <v>189</v>
      </c>
      <c r="D57" s="16" t="s">
        <v>19</v>
      </c>
      <c r="E57" s="16" t="s">
        <v>158</v>
      </c>
    </row>
    <row r="58" spans="1:5" x14ac:dyDescent="0.25">
      <c r="A58" s="15">
        <v>532778</v>
      </c>
      <c r="C58" s="16" t="s">
        <v>190</v>
      </c>
      <c r="D58" s="16" t="s">
        <v>191</v>
      </c>
      <c r="E58" s="16" t="s">
        <v>192</v>
      </c>
    </row>
    <row r="59" spans="1:5" x14ac:dyDescent="0.25">
      <c r="A59" s="15">
        <v>541628</v>
      </c>
      <c r="C59" s="16" t="s">
        <v>193</v>
      </c>
      <c r="D59" s="16" t="s">
        <v>191</v>
      </c>
      <c r="E59" s="16" t="s">
        <v>192</v>
      </c>
    </row>
    <row r="60" spans="1:5" x14ac:dyDescent="0.25">
      <c r="A60" s="15">
        <v>531405</v>
      </c>
      <c r="B60" t="s">
        <v>194</v>
      </c>
      <c r="C60" s="16" t="s">
        <v>195</v>
      </c>
      <c r="D60" s="16" t="s">
        <v>19</v>
      </c>
      <c r="E60" s="16" t="s">
        <v>119</v>
      </c>
    </row>
    <row r="61" spans="1:5" x14ac:dyDescent="0.25">
      <c r="A61" s="15">
        <v>531436</v>
      </c>
      <c r="B61" t="s">
        <v>196</v>
      </c>
      <c r="C61" s="16" t="s">
        <v>197</v>
      </c>
      <c r="D61" s="16" t="s">
        <v>19</v>
      </c>
      <c r="E61" s="16" t="s">
        <v>73</v>
      </c>
    </row>
    <row r="62" spans="1:5" x14ac:dyDescent="0.25">
      <c r="A62" s="15">
        <v>531666</v>
      </c>
      <c r="B62" s="16" t="s">
        <v>198</v>
      </c>
      <c r="C62" s="16" t="s">
        <v>199</v>
      </c>
      <c r="D62" s="16" t="s">
        <v>19</v>
      </c>
      <c r="E62" s="16" t="s">
        <v>192</v>
      </c>
    </row>
    <row r="63" spans="1:5" x14ac:dyDescent="0.25">
      <c r="A63" s="15">
        <v>531680</v>
      </c>
      <c r="B63" s="16" t="s">
        <v>200</v>
      </c>
      <c r="C63" s="16" t="s">
        <v>201</v>
      </c>
      <c r="D63" s="16" t="s">
        <v>19</v>
      </c>
      <c r="E63" s="16" t="s">
        <v>192</v>
      </c>
    </row>
    <row r="64" spans="1:5" x14ac:dyDescent="0.25">
      <c r="A64" s="15">
        <v>531534</v>
      </c>
      <c r="B64" s="16" t="s">
        <v>202</v>
      </c>
      <c r="C64" s="16" t="s">
        <v>203</v>
      </c>
      <c r="D64" s="16" t="s">
        <v>19</v>
      </c>
      <c r="E64" s="16" t="s">
        <v>192</v>
      </c>
    </row>
    <row r="65" spans="1:5" x14ac:dyDescent="0.25">
      <c r="A65" s="15">
        <v>531585</v>
      </c>
      <c r="B65" s="16" t="s">
        <v>204</v>
      </c>
      <c r="C65" s="16" t="s">
        <v>205</v>
      </c>
      <c r="D65" s="16" t="s">
        <v>19</v>
      </c>
      <c r="E65" s="16" t="s">
        <v>192</v>
      </c>
    </row>
    <row r="66" spans="1:5" x14ac:dyDescent="0.25">
      <c r="A66" s="15">
        <v>531639</v>
      </c>
      <c r="B66" s="16" t="s">
        <v>206</v>
      </c>
      <c r="C66" s="16" t="s">
        <v>207</v>
      </c>
      <c r="D66" s="16" t="s">
        <v>19</v>
      </c>
      <c r="E66" s="16" t="s">
        <v>192</v>
      </c>
    </row>
    <row r="67" spans="1:5" x14ac:dyDescent="0.25">
      <c r="A67" s="15">
        <v>527906</v>
      </c>
      <c r="B67" s="16" t="s">
        <v>208</v>
      </c>
      <c r="C67" s="16" t="s">
        <v>209</v>
      </c>
      <c r="D67" s="16" t="s">
        <v>19</v>
      </c>
      <c r="E67" s="16" t="s">
        <v>192</v>
      </c>
    </row>
    <row r="68" spans="1:5" x14ac:dyDescent="0.25">
      <c r="A68" s="15">
        <v>527962</v>
      </c>
      <c r="B68" s="16" t="s">
        <v>210</v>
      </c>
      <c r="C68" s="16" t="s">
        <v>211</v>
      </c>
      <c r="D68" s="16" t="s">
        <v>19</v>
      </c>
      <c r="E68" s="16" t="s">
        <v>192</v>
      </c>
    </row>
    <row r="69" spans="1:5" x14ac:dyDescent="0.25">
      <c r="A69" s="15">
        <v>527925</v>
      </c>
      <c r="B69" s="16" t="s">
        <v>212</v>
      </c>
      <c r="C69" s="16" t="s">
        <v>213</v>
      </c>
      <c r="D69" s="16" t="s">
        <v>19</v>
      </c>
      <c r="E69" s="16" t="s">
        <v>119</v>
      </c>
    </row>
    <row r="70" spans="1:5" x14ac:dyDescent="0.25">
      <c r="A70" s="15">
        <v>531581</v>
      </c>
      <c r="B70" s="16" t="s">
        <v>214</v>
      </c>
      <c r="C70" s="16" t="s">
        <v>215</v>
      </c>
      <c r="D70" s="16" t="s">
        <v>19</v>
      </c>
      <c r="E70" s="16" t="s">
        <v>192</v>
      </c>
    </row>
    <row r="71" spans="1:5" x14ac:dyDescent="0.25">
      <c r="A71" s="15">
        <v>528934</v>
      </c>
      <c r="B71" s="16" t="s">
        <v>216</v>
      </c>
      <c r="C71" s="16" t="s">
        <v>217</v>
      </c>
      <c r="D71" s="16" t="s">
        <v>19</v>
      </c>
      <c r="E71" s="16" t="s">
        <v>192</v>
      </c>
    </row>
    <row r="72" spans="1:5" x14ac:dyDescent="0.25">
      <c r="A72" s="15">
        <v>527882</v>
      </c>
      <c r="B72" s="16" t="s">
        <v>218</v>
      </c>
      <c r="C72" s="16" t="s">
        <v>219</v>
      </c>
      <c r="D72" s="16" t="s">
        <v>19</v>
      </c>
      <c r="E72" s="16" t="s">
        <v>119</v>
      </c>
    </row>
    <row r="73" spans="1:5" x14ac:dyDescent="0.25">
      <c r="A73" s="15">
        <v>531635</v>
      </c>
      <c r="B73" s="16" t="s">
        <v>220</v>
      </c>
      <c r="C73" s="16" t="s">
        <v>221</v>
      </c>
      <c r="D73" s="16" t="s">
        <v>19</v>
      </c>
      <c r="E73" s="16" t="s">
        <v>119</v>
      </c>
    </row>
    <row r="74" spans="1:5" x14ac:dyDescent="0.25">
      <c r="A74" s="15">
        <v>527922</v>
      </c>
      <c r="B74" s="16" t="s">
        <v>222</v>
      </c>
      <c r="C74" s="16" t="s">
        <v>223</v>
      </c>
      <c r="D74" s="16" t="s">
        <v>19</v>
      </c>
      <c r="E74" s="16" t="s">
        <v>119</v>
      </c>
    </row>
    <row r="75" spans="1:5" x14ac:dyDescent="0.25">
      <c r="A75" s="15">
        <v>527888</v>
      </c>
      <c r="B75" s="16" t="s">
        <v>224</v>
      </c>
      <c r="C75" s="16" t="s">
        <v>225</v>
      </c>
      <c r="D75" s="16" t="s">
        <v>19</v>
      </c>
      <c r="E75" s="16" t="s">
        <v>119</v>
      </c>
    </row>
    <row r="76" spans="1:5" x14ac:dyDescent="0.25">
      <c r="A76" s="15">
        <v>531456</v>
      </c>
      <c r="B76" s="16" t="s">
        <v>226</v>
      </c>
      <c r="C76" s="16" t="s">
        <v>227</v>
      </c>
      <c r="D76" s="16" t="s">
        <v>19</v>
      </c>
      <c r="E76" s="16" t="s">
        <v>192</v>
      </c>
    </row>
    <row r="77" spans="1:5" x14ac:dyDescent="0.25">
      <c r="A77" s="15">
        <v>531455</v>
      </c>
      <c r="B77" s="16" t="s">
        <v>228</v>
      </c>
      <c r="C77" s="16" t="s">
        <v>229</v>
      </c>
      <c r="D77" s="16" t="s">
        <v>19</v>
      </c>
      <c r="E77" s="16" t="s">
        <v>192</v>
      </c>
    </row>
    <row r="78" spans="1:5" x14ac:dyDescent="0.25">
      <c r="A78" s="15">
        <v>531845</v>
      </c>
      <c r="B78" s="16" t="s">
        <v>230</v>
      </c>
      <c r="C78" s="16" t="s">
        <v>231</v>
      </c>
      <c r="D78" s="16" t="s">
        <v>12</v>
      </c>
      <c r="E78" s="16" t="s">
        <v>192</v>
      </c>
    </row>
    <row r="79" spans="1:5" x14ac:dyDescent="0.25">
      <c r="A79" s="15">
        <v>527894</v>
      </c>
      <c r="B79" s="16" t="s">
        <v>232</v>
      </c>
      <c r="C79" s="16" t="s">
        <v>233</v>
      </c>
      <c r="D79" s="16" t="s">
        <v>19</v>
      </c>
      <c r="E79" s="16" t="s">
        <v>192</v>
      </c>
    </row>
    <row r="80" spans="1:5" x14ac:dyDescent="0.25">
      <c r="A80" s="15">
        <v>527983</v>
      </c>
      <c r="B80" s="16" t="s">
        <v>234</v>
      </c>
      <c r="C80" s="16" t="s">
        <v>235</v>
      </c>
      <c r="D80" s="16" t="s">
        <v>19</v>
      </c>
      <c r="E80" s="16" t="s">
        <v>192</v>
      </c>
    </row>
    <row r="81" spans="1:5" x14ac:dyDescent="0.25">
      <c r="A81" s="15">
        <v>531493</v>
      </c>
      <c r="B81" s="16" t="s">
        <v>236</v>
      </c>
      <c r="C81" s="16" t="s">
        <v>237</v>
      </c>
      <c r="D81" s="16" t="s">
        <v>19</v>
      </c>
      <c r="E81" s="16" t="s">
        <v>238</v>
      </c>
    </row>
    <row r="82" spans="1:5" x14ac:dyDescent="0.25">
      <c r="A82" s="15">
        <v>531620</v>
      </c>
      <c r="B82" s="16" t="s">
        <v>239</v>
      </c>
      <c r="C82" s="16" t="s">
        <v>240</v>
      </c>
      <c r="D82" s="16" t="s">
        <v>19</v>
      </c>
      <c r="E82" s="16" t="s">
        <v>119</v>
      </c>
    </row>
    <row r="83" spans="1:5" x14ac:dyDescent="0.25">
      <c r="A83" s="15">
        <v>531580</v>
      </c>
      <c r="D83" s="16" t="s">
        <v>19</v>
      </c>
      <c r="E83" s="16" t="s">
        <v>73</v>
      </c>
    </row>
    <row r="84" spans="1:5" x14ac:dyDescent="0.25">
      <c r="A84" s="15">
        <v>531401</v>
      </c>
      <c r="B84" s="16" t="s">
        <v>241</v>
      </c>
      <c r="C84" s="16" t="s">
        <v>241</v>
      </c>
      <c r="D84" s="16" t="s">
        <v>242</v>
      </c>
      <c r="E84" s="16" t="s">
        <v>238</v>
      </c>
    </row>
    <row r="85" spans="1:5" x14ac:dyDescent="0.25">
      <c r="A85" s="15">
        <v>531731</v>
      </c>
      <c r="B85" s="16" t="s">
        <v>241</v>
      </c>
      <c r="C85" s="16" t="s">
        <v>241</v>
      </c>
      <c r="D85" s="16" t="s">
        <v>22</v>
      </c>
      <c r="E85" s="16" t="s">
        <v>238</v>
      </c>
    </row>
    <row r="86" spans="1:5" x14ac:dyDescent="0.25">
      <c r="A86" s="15">
        <v>531587</v>
      </c>
      <c r="B86" s="16" t="s">
        <v>243</v>
      </c>
      <c r="C86" s="16" t="s">
        <v>244</v>
      </c>
      <c r="D86" s="16" t="s">
        <v>19</v>
      </c>
      <c r="E86" s="16" t="s">
        <v>119</v>
      </c>
    </row>
    <row r="87" spans="1:5" x14ac:dyDescent="0.25">
      <c r="A87" s="15">
        <v>531615</v>
      </c>
      <c r="B87" s="16" t="s">
        <v>245</v>
      </c>
      <c r="C87" s="16" t="s">
        <v>246</v>
      </c>
      <c r="D87" s="16" t="s">
        <v>19</v>
      </c>
      <c r="E87" s="16" t="s">
        <v>119</v>
      </c>
    </row>
    <row r="88" spans="1:5" x14ac:dyDescent="0.25">
      <c r="A88" s="15">
        <v>531483</v>
      </c>
      <c r="B88" s="16" t="s">
        <v>247</v>
      </c>
      <c r="C88" s="16" t="s">
        <v>248</v>
      </c>
      <c r="D88" s="16" t="s">
        <v>19</v>
      </c>
      <c r="E88" s="16" t="s">
        <v>192</v>
      </c>
    </row>
    <row r="89" spans="1:5" x14ac:dyDescent="0.25">
      <c r="A89" s="15">
        <v>527907</v>
      </c>
      <c r="B89" s="16" t="s">
        <v>249</v>
      </c>
      <c r="C89" s="16" t="s">
        <v>250</v>
      </c>
      <c r="D89" s="16" t="s">
        <v>19</v>
      </c>
      <c r="E89" s="16" t="s">
        <v>119</v>
      </c>
    </row>
    <row r="90" spans="1:5" x14ac:dyDescent="0.25">
      <c r="A90" s="15">
        <v>531402</v>
      </c>
      <c r="B90" s="16" t="s">
        <v>251</v>
      </c>
      <c r="C90" s="16" t="s">
        <v>252</v>
      </c>
      <c r="D90" s="16" t="s">
        <v>19</v>
      </c>
      <c r="E90" s="16" t="s">
        <v>119</v>
      </c>
    </row>
    <row r="91" spans="1:5" x14ac:dyDescent="0.25">
      <c r="A91" s="15">
        <v>527913</v>
      </c>
      <c r="B91" s="16" t="s">
        <v>253</v>
      </c>
      <c r="C91" s="16" t="s">
        <v>254</v>
      </c>
      <c r="D91" s="16" t="s">
        <v>19</v>
      </c>
      <c r="E91" s="16" t="s">
        <v>192</v>
      </c>
    </row>
    <row r="92" spans="1:5" x14ac:dyDescent="0.25">
      <c r="A92" s="15">
        <v>531635</v>
      </c>
      <c r="B92" s="16" t="s">
        <v>220</v>
      </c>
      <c r="C92" s="16" t="s">
        <v>221</v>
      </c>
      <c r="D92" s="16" t="s">
        <v>19</v>
      </c>
      <c r="E92" s="16" t="s">
        <v>192</v>
      </c>
    </row>
    <row r="93" spans="1:5" x14ac:dyDescent="0.25">
      <c r="A93" s="15">
        <v>527907</v>
      </c>
      <c r="B93" s="16" t="s">
        <v>249</v>
      </c>
      <c r="C93" s="16" t="s">
        <v>250</v>
      </c>
      <c r="D93" s="16" t="s">
        <v>19</v>
      </c>
      <c r="E93" s="16" t="s">
        <v>192</v>
      </c>
    </row>
    <row r="94" spans="1:5" x14ac:dyDescent="0.25">
      <c r="A94" s="15">
        <v>531615</v>
      </c>
      <c r="B94" s="16" t="s">
        <v>245</v>
      </c>
      <c r="C94" s="16" t="s">
        <v>246</v>
      </c>
      <c r="D94" s="16" t="s">
        <v>19</v>
      </c>
      <c r="E94" s="16" t="s">
        <v>192</v>
      </c>
    </row>
    <row r="95" spans="1:5" x14ac:dyDescent="0.25">
      <c r="A95" s="15">
        <v>531816</v>
      </c>
      <c r="B95" s="16" t="s">
        <v>255</v>
      </c>
      <c r="C95" s="16" t="s">
        <v>256</v>
      </c>
      <c r="D95" s="16" t="s">
        <v>12</v>
      </c>
      <c r="E95" s="16" t="s">
        <v>192</v>
      </c>
    </row>
    <row r="96" spans="1:5" x14ac:dyDescent="0.25">
      <c r="A96" s="15">
        <v>531756</v>
      </c>
      <c r="B96" s="16" t="s">
        <v>257</v>
      </c>
      <c r="C96" s="16" t="s">
        <v>258</v>
      </c>
      <c r="D96" s="16" t="s">
        <v>12</v>
      </c>
      <c r="E96" s="16" t="s">
        <v>192</v>
      </c>
    </row>
    <row r="97" spans="1:5" x14ac:dyDescent="0.25">
      <c r="A97" s="15">
        <v>527875</v>
      </c>
      <c r="B97" s="16" t="s">
        <v>259</v>
      </c>
      <c r="C97" s="16" t="s">
        <v>260</v>
      </c>
      <c r="D97" s="16" t="s">
        <v>261</v>
      </c>
      <c r="E97" s="16" t="s">
        <v>119</v>
      </c>
    </row>
    <row r="98" spans="1:5" x14ac:dyDescent="0.25">
      <c r="A98" s="15">
        <v>531403</v>
      </c>
      <c r="B98" s="16" t="s">
        <v>241</v>
      </c>
      <c r="C98" s="16" t="s">
        <v>241</v>
      </c>
      <c r="D98" s="16" t="s">
        <v>19</v>
      </c>
      <c r="E98" s="16" t="s">
        <v>73</v>
      </c>
    </row>
    <row r="99" spans="1:5" x14ac:dyDescent="0.25">
      <c r="A99" s="15">
        <v>541535</v>
      </c>
      <c r="B99" s="16" t="s">
        <v>262</v>
      </c>
      <c r="C99" s="16" t="s">
        <v>263</v>
      </c>
      <c r="D99" s="16" t="s">
        <v>264</v>
      </c>
      <c r="E99" s="16" t="s">
        <v>265</v>
      </c>
    </row>
    <row r="100" spans="1:5" x14ac:dyDescent="0.25">
      <c r="A100" s="15">
        <v>541536</v>
      </c>
      <c r="B100" s="16" t="s">
        <v>266</v>
      </c>
      <c r="C100" s="16" t="s">
        <v>267</v>
      </c>
      <c r="D100" s="16" t="s">
        <v>264</v>
      </c>
      <c r="E100" s="16" t="s">
        <v>265</v>
      </c>
    </row>
    <row r="101" spans="1:5" x14ac:dyDescent="0.25">
      <c r="A101" s="15">
        <v>541537</v>
      </c>
      <c r="B101" s="16" t="s">
        <v>268</v>
      </c>
      <c r="C101" s="16" t="s">
        <v>269</v>
      </c>
      <c r="D101" s="16" t="s">
        <v>264</v>
      </c>
      <c r="E101" s="16" t="s">
        <v>265</v>
      </c>
    </row>
    <row r="102" spans="1:5" x14ac:dyDescent="0.25">
      <c r="A102" s="15">
        <v>541538</v>
      </c>
      <c r="B102" s="16" t="s">
        <v>270</v>
      </c>
      <c r="C102" s="16" t="s">
        <v>271</v>
      </c>
      <c r="D102" s="16" t="s">
        <v>264</v>
      </c>
      <c r="E102" s="16" t="s">
        <v>265</v>
      </c>
    </row>
    <row r="103" spans="1:5" x14ac:dyDescent="0.25">
      <c r="A103" s="15">
        <v>531432</v>
      </c>
      <c r="B103" s="16" t="s">
        <v>272</v>
      </c>
      <c r="C103" s="16" t="s">
        <v>273</v>
      </c>
      <c r="E103" s="16" t="s">
        <v>119</v>
      </c>
    </row>
    <row r="104" spans="1:5" x14ac:dyDescent="0.25">
      <c r="A104" s="15">
        <v>531522</v>
      </c>
      <c r="E104" s="16" t="s">
        <v>73</v>
      </c>
    </row>
    <row r="105" spans="1:5" x14ac:dyDescent="0.25">
      <c r="A105" s="15">
        <v>531555</v>
      </c>
      <c r="B105" s="16" t="s">
        <v>274</v>
      </c>
      <c r="C105" s="16" t="s">
        <v>275</v>
      </c>
      <c r="D105" s="16" t="s">
        <v>19</v>
      </c>
      <c r="E105" s="16" t="s">
        <v>119</v>
      </c>
    </row>
    <row r="106" spans="1:5" x14ac:dyDescent="0.25">
      <c r="A106" s="15">
        <v>531499</v>
      </c>
      <c r="E106" s="16" t="s">
        <v>73</v>
      </c>
    </row>
    <row r="107" spans="1:5" x14ac:dyDescent="0.25">
      <c r="A107" s="15">
        <v>527978</v>
      </c>
      <c r="B107" s="16" t="s">
        <v>276</v>
      </c>
      <c r="C107" s="16" t="s">
        <v>277</v>
      </c>
      <c r="D107" s="16" t="s">
        <v>19</v>
      </c>
      <c r="E107" s="16" t="s">
        <v>119</v>
      </c>
    </row>
    <row r="108" spans="1:5" x14ac:dyDescent="0.25">
      <c r="A108" s="15">
        <v>531577</v>
      </c>
      <c r="B108" s="16" t="s">
        <v>278</v>
      </c>
      <c r="C108" s="16" t="s">
        <v>279</v>
      </c>
      <c r="D108" s="16" t="s">
        <v>19</v>
      </c>
      <c r="E108" s="16" t="s">
        <v>73</v>
      </c>
    </row>
    <row r="109" spans="1:5" x14ac:dyDescent="0.25">
      <c r="A109" s="15">
        <v>511461</v>
      </c>
      <c r="B109" s="16" t="s">
        <v>280</v>
      </c>
      <c r="C109" s="16" t="s">
        <v>281</v>
      </c>
      <c r="D109" s="16" t="s">
        <v>22</v>
      </c>
      <c r="E109" s="16" t="s">
        <v>73</v>
      </c>
    </row>
    <row r="110" spans="1:5" x14ac:dyDescent="0.25">
      <c r="A110" s="15">
        <v>531642</v>
      </c>
      <c r="B110" s="16" t="s">
        <v>282</v>
      </c>
      <c r="C110" s="16" t="s">
        <v>283</v>
      </c>
      <c r="D110" s="16" t="s">
        <v>19</v>
      </c>
      <c r="E110" s="16" t="s">
        <v>78</v>
      </c>
    </row>
    <row r="111" spans="1:5" x14ac:dyDescent="0.25">
      <c r="A111" s="15">
        <v>527554</v>
      </c>
      <c r="B111" s="16" t="s">
        <v>284</v>
      </c>
      <c r="C111" s="16" t="s">
        <v>285</v>
      </c>
      <c r="D111" s="16" t="s">
        <v>19</v>
      </c>
      <c r="E111" s="16" t="s">
        <v>119</v>
      </c>
    </row>
    <row r="112" spans="1:5" x14ac:dyDescent="0.25">
      <c r="A112" s="15">
        <v>531569</v>
      </c>
      <c r="B112" s="16" t="s">
        <v>286</v>
      </c>
      <c r="C112" s="16" t="s">
        <v>287</v>
      </c>
      <c r="D112" s="16" t="s">
        <v>19</v>
      </c>
      <c r="E112" s="16" t="s">
        <v>288</v>
      </c>
    </row>
    <row r="113" spans="1:5" x14ac:dyDescent="0.25">
      <c r="A113" s="15">
        <v>531607</v>
      </c>
      <c r="B113" s="16" t="s">
        <v>289</v>
      </c>
      <c r="C113" s="16" t="s">
        <v>290</v>
      </c>
      <c r="D113" s="16" t="s">
        <v>19</v>
      </c>
      <c r="E113" s="16" t="s">
        <v>73</v>
      </c>
    </row>
    <row r="114" spans="1:5" x14ac:dyDescent="0.25">
      <c r="A114" s="15">
        <v>527947</v>
      </c>
      <c r="B114" s="16" t="s">
        <v>291</v>
      </c>
      <c r="C114" s="16" t="s">
        <v>292</v>
      </c>
      <c r="D114" s="16" t="s">
        <v>19</v>
      </c>
      <c r="E114" s="16" t="s">
        <v>119</v>
      </c>
    </row>
    <row r="115" spans="1:5" x14ac:dyDescent="0.25">
      <c r="A115" s="15">
        <v>527899</v>
      </c>
      <c r="B115" s="16" t="s">
        <v>293</v>
      </c>
      <c r="C115" s="16" t="s">
        <v>294</v>
      </c>
      <c r="D115" s="16" t="s">
        <v>19</v>
      </c>
      <c r="E115" s="16" t="s">
        <v>73</v>
      </c>
    </row>
    <row r="116" spans="1:5" x14ac:dyDescent="0.25">
      <c r="A116" s="15">
        <v>531497</v>
      </c>
      <c r="B116" s="16" t="s">
        <v>295</v>
      </c>
      <c r="C116" s="16" t="s">
        <v>296</v>
      </c>
      <c r="D116" s="16" t="s">
        <v>19</v>
      </c>
      <c r="E116" s="16" t="s">
        <v>119</v>
      </c>
    </row>
    <row r="117" spans="1:5" x14ac:dyDescent="0.25">
      <c r="A117">
        <v>528009</v>
      </c>
      <c r="B117" t="s">
        <v>297</v>
      </c>
      <c r="C117" t="s">
        <v>298</v>
      </c>
      <c r="D117" s="16" t="s">
        <v>19</v>
      </c>
      <c r="E117" s="16" t="s">
        <v>73</v>
      </c>
    </row>
    <row r="118" spans="1:5" x14ac:dyDescent="0.25">
      <c r="A118" s="15">
        <v>531644</v>
      </c>
      <c r="B118" s="16" t="s">
        <v>299</v>
      </c>
      <c r="C118" s="16" t="s">
        <v>300</v>
      </c>
      <c r="D118" s="16" t="s">
        <v>19</v>
      </c>
      <c r="E118" s="16" t="s">
        <v>119</v>
      </c>
    </row>
    <row r="119" spans="1:5" x14ac:dyDescent="0.25">
      <c r="A119" s="15">
        <v>527959</v>
      </c>
      <c r="B119" s="16" t="s">
        <v>301</v>
      </c>
      <c r="C119" s="16" t="s">
        <v>302</v>
      </c>
      <c r="D119" s="16" t="s">
        <v>19</v>
      </c>
      <c r="E119" s="16" t="s">
        <v>119</v>
      </c>
    </row>
    <row r="120" spans="1:5" x14ac:dyDescent="0.25">
      <c r="A120" s="15">
        <v>531627</v>
      </c>
      <c r="B120" s="16" t="s">
        <v>303</v>
      </c>
      <c r="C120" s="16" t="s">
        <v>304</v>
      </c>
      <c r="D120" s="16" t="s">
        <v>19</v>
      </c>
      <c r="E120" s="16" t="s">
        <v>119</v>
      </c>
    </row>
    <row r="121" spans="1:5" x14ac:dyDescent="0.25">
      <c r="A121" s="15">
        <v>527584</v>
      </c>
      <c r="B121" s="16" t="s">
        <v>305</v>
      </c>
      <c r="C121" s="16" t="s">
        <v>306</v>
      </c>
      <c r="D121" s="16" t="s">
        <v>19</v>
      </c>
      <c r="E121" s="16" t="s">
        <v>119</v>
      </c>
    </row>
    <row r="122" spans="1:5" x14ac:dyDescent="0.25">
      <c r="A122" s="15">
        <v>531418</v>
      </c>
      <c r="B122" s="16" t="s">
        <v>307</v>
      </c>
      <c r="C122" s="16" t="s">
        <v>308</v>
      </c>
      <c r="D122" s="16" t="s">
        <v>19</v>
      </c>
      <c r="E122" s="16" t="s">
        <v>158</v>
      </c>
    </row>
    <row r="123" spans="1:5" x14ac:dyDescent="0.25">
      <c r="A123" s="15">
        <v>531414</v>
      </c>
      <c r="B123" s="16" t="s">
        <v>309</v>
      </c>
      <c r="C123" s="16" t="s">
        <v>310</v>
      </c>
      <c r="D123" s="16" t="s">
        <v>19</v>
      </c>
      <c r="E123" s="16" t="s">
        <v>78</v>
      </c>
    </row>
    <row r="124" spans="1:5" x14ac:dyDescent="0.25">
      <c r="A124" s="15">
        <v>527929</v>
      </c>
      <c r="B124" s="16" t="s">
        <v>311</v>
      </c>
      <c r="C124" s="16" t="s">
        <v>312</v>
      </c>
      <c r="D124" s="16" t="s">
        <v>19</v>
      </c>
      <c r="E124" s="16" t="s">
        <v>78</v>
      </c>
    </row>
    <row r="125" spans="1:5" x14ac:dyDescent="0.25">
      <c r="A125" s="15">
        <v>531644</v>
      </c>
      <c r="B125" s="16" t="s">
        <v>299</v>
      </c>
      <c r="C125" s="16" t="s">
        <v>300</v>
      </c>
      <c r="D125" s="16" t="s">
        <v>19</v>
      </c>
      <c r="E125" s="16" t="s">
        <v>78</v>
      </c>
    </row>
    <row r="126" spans="1:5" x14ac:dyDescent="0.25">
      <c r="A126" s="15">
        <v>531627</v>
      </c>
      <c r="B126" s="16" t="s">
        <v>303</v>
      </c>
      <c r="C126" s="16" t="s">
        <v>304</v>
      </c>
      <c r="D126" s="16" t="s">
        <v>19</v>
      </c>
      <c r="E126" s="16" t="s">
        <v>78</v>
      </c>
    </row>
    <row r="127" spans="1:5" x14ac:dyDescent="0.25">
      <c r="A127" s="15">
        <v>527959</v>
      </c>
      <c r="B127" s="16" t="s">
        <v>301</v>
      </c>
      <c r="C127" s="16" t="s">
        <v>302</v>
      </c>
      <c r="D127" s="16" t="s">
        <v>19</v>
      </c>
      <c r="E127" s="16" t="s">
        <v>78</v>
      </c>
    </row>
    <row r="128" spans="1:5" x14ac:dyDescent="0.25">
      <c r="A128" s="15">
        <v>527979</v>
      </c>
      <c r="B128" s="16" t="s">
        <v>313</v>
      </c>
      <c r="C128" s="16" t="s">
        <v>314</v>
      </c>
      <c r="D128" s="16" t="s">
        <v>19</v>
      </c>
      <c r="E128" s="16" t="s">
        <v>78</v>
      </c>
    </row>
    <row r="129" spans="1:5" x14ac:dyDescent="0.25">
      <c r="A129" s="15">
        <v>531516</v>
      </c>
      <c r="B129" s="16" t="s">
        <v>103</v>
      </c>
      <c r="C129" s="16" t="s">
        <v>104</v>
      </c>
      <c r="D129" s="16" t="s">
        <v>19</v>
      </c>
      <c r="E129" s="16" t="s">
        <v>78</v>
      </c>
    </row>
    <row r="130" spans="1:5" x14ac:dyDescent="0.25">
      <c r="A130" s="15">
        <v>527900</v>
      </c>
      <c r="B130" s="16" t="s">
        <v>315</v>
      </c>
      <c r="C130" s="16" t="s">
        <v>316</v>
      </c>
      <c r="D130" s="16" t="s">
        <v>19</v>
      </c>
      <c r="E130" s="16" t="s">
        <v>78</v>
      </c>
    </row>
    <row r="131" spans="1:5" x14ac:dyDescent="0.25">
      <c r="A131" s="15">
        <v>531597</v>
      </c>
      <c r="B131" s="16" t="s">
        <v>317</v>
      </c>
      <c r="C131" s="16" t="s">
        <v>318</v>
      </c>
      <c r="D131" s="16" t="s">
        <v>19</v>
      </c>
      <c r="E131" s="16" t="s">
        <v>78</v>
      </c>
    </row>
    <row r="132" spans="1:5" x14ac:dyDescent="0.25">
      <c r="A132" s="15">
        <v>531431</v>
      </c>
      <c r="B132" s="16" t="s">
        <v>319</v>
      </c>
      <c r="C132" s="16" t="s">
        <v>320</v>
      </c>
      <c r="D132" s="16" t="s">
        <v>19</v>
      </c>
      <c r="E132" s="16" t="s">
        <v>78</v>
      </c>
    </row>
    <row r="133" spans="1:5" x14ac:dyDescent="0.25">
      <c r="A133" s="15">
        <v>531411</v>
      </c>
      <c r="B133" s="16" t="s">
        <v>321</v>
      </c>
      <c r="C133" s="16" t="s">
        <v>322</v>
      </c>
      <c r="D133" s="16" t="s">
        <v>19</v>
      </c>
      <c r="E133" s="16" t="s">
        <v>78</v>
      </c>
    </row>
    <row r="134" spans="1:5" x14ac:dyDescent="0.25">
      <c r="A134" s="15">
        <v>531485</v>
      </c>
      <c r="B134" s="16" t="s">
        <v>323</v>
      </c>
      <c r="C134" s="16" t="s">
        <v>324</v>
      </c>
      <c r="D134" s="16" t="s">
        <v>19</v>
      </c>
      <c r="E134" s="16" t="s">
        <v>78</v>
      </c>
    </row>
    <row r="135" spans="1:5" x14ac:dyDescent="0.25">
      <c r="A135" s="15">
        <v>531765</v>
      </c>
      <c r="B135" s="16" t="s">
        <v>325</v>
      </c>
      <c r="C135" s="16" t="s">
        <v>326</v>
      </c>
      <c r="D135" s="16" t="s">
        <v>12</v>
      </c>
      <c r="E135" s="16" t="s">
        <v>78</v>
      </c>
    </row>
    <row r="136" spans="1:5" x14ac:dyDescent="0.25">
      <c r="A136" s="15">
        <v>527938</v>
      </c>
      <c r="B136" s="16" t="s">
        <v>327</v>
      </c>
      <c r="C136" s="16" t="s">
        <v>328</v>
      </c>
      <c r="D136" s="16" t="s">
        <v>20</v>
      </c>
      <c r="E136" s="16" t="s">
        <v>78</v>
      </c>
    </row>
    <row r="137" spans="1:5" x14ac:dyDescent="0.25">
      <c r="A137" s="15">
        <v>541501</v>
      </c>
      <c r="B137" s="16" t="s">
        <v>329</v>
      </c>
      <c r="C137" s="16" t="s">
        <v>330</v>
      </c>
      <c r="D137" s="16" t="s">
        <v>20</v>
      </c>
      <c r="E137" s="16" t="s">
        <v>78</v>
      </c>
    </row>
    <row r="138" spans="1:5" x14ac:dyDescent="0.25">
      <c r="A138" s="15">
        <v>531570</v>
      </c>
      <c r="B138" s="16" t="s">
        <v>331</v>
      </c>
      <c r="C138" s="16" t="s">
        <v>332</v>
      </c>
      <c r="D138" s="16" t="s">
        <v>19</v>
      </c>
      <c r="E138" s="16" t="s">
        <v>78</v>
      </c>
    </row>
    <row r="139" spans="1:5" x14ac:dyDescent="0.25">
      <c r="A139" s="15">
        <v>532352</v>
      </c>
      <c r="B139" s="16" t="s">
        <v>333</v>
      </c>
      <c r="C139" s="16" t="s">
        <v>334</v>
      </c>
      <c r="D139" s="16" t="s">
        <v>20</v>
      </c>
      <c r="E139" s="16" t="s">
        <v>78</v>
      </c>
    </row>
    <row r="140" spans="1:5" x14ac:dyDescent="0.25">
      <c r="A140" s="15">
        <v>531842</v>
      </c>
      <c r="B140" s="16" t="s">
        <v>335</v>
      </c>
      <c r="C140" s="16" t="s">
        <v>336</v>
      </c>
      <c r="D140" s="16" t="s">
        <v>12</v>
      </c>
      <c r="E140" s="16" t="s">
        <v>78</v>
      </c>
    </row>
    <row r="141" spans="1:5" x14ac:dyDescent="0.25">
      <c r="A141" s="15">
        <v>531448</v>
      </c>
      <c r="B141" s="16" t="s">
        <v>337</v>
      </c>
      <c r="C141" s="16" t="s">
        <v>338</v>
      </c>
      <c r="D141" s="16" t="s">
        <v>19</v>
      </c>
      <c r="E141" s="16" t="s">
        <v>78</v>
      </c>
    </row>
    <row r="142" spans="1:5" x14ac:dyDescent="0.25">
      <c r="A142" s="15">
        <v>532131</v>
      </c>
      <c r="B142" s="16" t="s">
        <v>339</v>
      </c>
      <c r="C142" s="16" t="s">
        <v>340</v>
      </c>
      <c r="D142" s="16" t="s">
        <v>20</v>
      </c>
      <c r="E142" s="16" t="s">
        <v>78</v>
      </c>
    </row>
    <row r="143" spans="1:5" x14ac:dyDescent="0.25">
      <c r="A143" s="15">
        <v>531416</v>
      </c>
      <c r="B143" s="16" t="s">
        <v>341</v>
      </c>
      <c r="C143" s="16" t="s">
        <v>342</v>
      </c>
      <c r="D143" s="16" t="s">
        <v>19</v>
      </c>
      <c r="E143" s="16" t="s">
        <v>78</v>
      </c>
    </row>
    <row r="144" spans="1:5" x14ac:dyDescent="0.25">
      <c r="A144" s="15">
        <v>531542</v>
      </c>
      <c r="B144" s="16" t="s">
        <v>343</v>
      </c>
      <c r="C144" s="16" t="s">
        <v>344</v>
      </c>
      <c r="D144" s="16" t="s">
        <v>19</v>
      </c>
      <c r="E144" s="16" t="s">
        <v>78</v>
      </c>
    </row>
    <row r="145" spans="1:5" x14ac:dyDescent="0.25">
      <c r="A145" s="15">
        <v>541564</v>
      </c>
      <c r="B145" s="16" t="s">
        <v>345</v>
      </c>
      <c r="C145" s="16" t="s">
        <v>346</v>
      </c>
      <c r="D145" s="16" t="s">
        <v>20</v>
      </c>
      <c r="E145" s="16" t="s">
        <v>78</v>
      </c>
    </row>
    <row r="146" spans="1:5" x14ac:dyDescent="0.25">
      <c r="A146" s="15">
        <v>531813</v>
      </c>
      <c r="B146" s="16" t="s">
        <v>347</v>
      </c>
      <c r="C146" s="16" t="s">
        <v>348</v>
      </c>
      <c r="D146" s="16" t="s">
        <v>12</v>
      </c>
      <c r="E146" s="16" t="s">
        <v>78</v>
      </c>
    </row>
    <row r="147" spans="1:5" x14ac:dyDescent="0.25">
      <c r="A147" s="15">
        <v>484516</v>
      </c>
      <c r="B147" s="16" t="s">
        <v>349</v>
      </c>
      <c r="C147" s="16" t="s">
        <v>350</v>
      </c>
      <c r="D147" s="16" t="s">
        <v>21</v>
      </c>
      <c r="E147" s="16" t="s">
        <v>351</v>
      </c>
    </row>
    <row r="148" spans="1:5" x14ac:dyDescent="0.25">
      <c r="A148" s="15">
        <v>527610</v>
      </c>
      <c r="B148" s="16" t="s">
        <v>352</v>
      </c>
      <c r="C148" s="16" t="s">
        <v>353</v>
      </c>
      <c r="D148" s="16" t="s">
        <v>19</v>
      </c>
      <c r="E148" s="16" t="s">
        <v>78</v>
      </c>
    </row>
    <row r="149" spans="1:5" x14ac:dyDescent="0.25">
      <c r="A149" s="15">
        <v>536042</v>
      </c>
      <c r="B149" s="16" t="s">
        <v>354</v>
      </c>
      <c r="C149" s="16" t="s">
        <v>355</v>
      </c>
      <c r="D149" s="16" t="s">
        <v>20</v>
      </c>
      <c r="E149" s="16" t="s">
        <v>78</v>
      </c>
    </row>
    <row r="150" spans="1:5" x14ac:dyDescent="0.25">
      <c r="A150" s="15">
        <v>531384</v>
      </c>
      <c r="B150" s="16" t="s">
        <v>356</v>
      </c>
      <c r="C150" s="16" t="s">
        <v>357</v>
      </c>
      <c r="D150" s="16" t="s">
        <v>19</v>
      </c>
      <c r="E150" s="16" t="s">
        <v>78</v>
      </c>
    </row>
    <row r="151" spans="1:5" x14ac:dyDescent="0.25">
      <c r="A151" s="15">
        <v>527930</v>
      </c>
      <c r="B151" s="16" t="s">
        <v>358</v>
      </c>
      <c r="C151" s="16" t="s">
        <v>359</v>
      </c>
      <c r="D151" s="16" t="s">
        <v>19</v>
      </c>
      <c r="E151" s="16" t="s">
        <v>78</v>
      </c>
    </row>
    <row r="152" spans="1:5" x14ac:dyDescent="0.25">
      <c r="A152" s="15">
        <v>531479</v>
      </c>
      <c r="B152" s="16" t="s">
        <v>360</v>
      </c>
      <c r="C152" s="16" t="s">
        <v>361</v>
      </c>
      <c r="D152" s="16" t="s">
        <v>19</v>
      </c>
      <c r="E152" s="16" t="s">
        <v>78</v>
      </c>
    </row>
    <row r="153" spans="1:5" x14ac:dyDescent="0.25">
      <c r="A153" s="15">
        <v>527527</v>
      </c>
      <c r="B153" s="16" t="s">
        <v>362</v>
      </c>
      <c r="C153" s="16" t="s">
        <v>363</v>
      </c>
      <c r="D153" s="16" t="s">
        <v>22</v>
      </c>
      <c r="E153" s="16" t="s">
        <v>78</v>
      </c>
    </row>
    <row r="154" spans="1:5" x14ac:dyDescent="0.25">
      <c r="A154" s="15">
        <v>527883</v>
      </c>
      <c r="B154" s="16" t="s">
        <v>364</v>
      </c>
      <c r="C154" s="16" t="s">
        <v>365</v>
      </c>
      <c r="D154" s="16" t="s">
        <v>19</v>
      </c>
      <c r="E154" s="16" t="s">
        <v>78</v>
      </c>
    </row>
    <row r="155" spans="1:5" x14ac:dyDescent="0.25">
      <c r="A155" s="15">
        <v>531810</v>
      </c>
      <c r="B155" s="16" t="s">
        <v>366</v>
      </c>
      <c r="C155" s="16" t="s">
        <v>367</v>
      </c>
      <c r="D155" s="16" t="s">
        <v>12</v>
      </c>
      <c r="E155" s="16" t="s">
        <v>78</v>
      </c>
    </row>
    <row r="156" spans="1:5" x14ac:dyDescent="0.25">
      <c r="A156" s="15">
        <v>527897</v>
      </c>
      <c r="B156" s="16" t="s">
        <v>368</v>
      </c>
      <c r="C156" s="16" t="s">
        <v>369</v>
      </c>
      <c r="D156" s="16" t="s">
        <v>19</v>
      </c>
      <c r="E156" s="16" t="s">
        <v>78</v>
      </c>
    </row>
    <row r="157" spans="1:5" x14ac:dyDescent="0.25">
      <c r="A157" s="15">
        <v>548099</v>
      </c>
      <c r="B157" s="16" t="s">
        <v>370</v>
      </c>
      <c r="C157" s="16" t="s">
        <v>371</v>
      </c>
      <c r="D157" s="16" t="s">
        <v>23</v>
      </c>
      <c r="E157" s="16" t="s">
        <v>73</v>
      </c>
    </row>
    <row r="158" spans="1:5" x14ac:dyDescent="0.25">
      <c r="A158" s="15">
        <v>532132</v>
      </c>
      <c r="B158" s="16" t="s">
        <v>372</v>
      </c>
      <c r="C158" s="16" t="s">
        <v>373</v>
      </c>
      <c r="D158" s="16" t="s">
        <v>20</v>
      </c>
      <c r="E158" s="16" t="s">
        <v>78</v>
      </c>
    </row>
    <row r="159" spans="1:5" x14ac:dyDescent="0.25">
      <c r="A159" s="15">
        <v>531435</v>
      </c>
      <c r="B159" s="16" t="s">
        <v>374</v>
      </c>
      <c r="C159" s="16" t="s">
        <v>375</v>
      </c>
      <c r="D159" s="16" t="s">
        <v>19</v>
      </c>
      <c r="E159" s="16" t="s">
        <v>78</v>
      </c>
    </row>
    <row r="160" spans="1:5" x14ac:dyDescent="0.25">
      <c r="A160" s="15">
        <v>539156</v>
      </c>
      <c r="B160" s="16" t="s">
        <v>376</v>
      </c>
      <c r="C160" s="16" t="s">
        <v>377</v>
      </c>
      <c r="D160" s="16" t="s">
        <v>20</v>
      </c>
      <c r="E160" s="16" t="s">
        <v>78</v>
      </c>
    </row>
    <row r="161" spans="1:5" x14ac:dyDescent="0.25">
      <c r="A161" s="15">
        <v>545075</v>
      </c>
      <c r="B161" s="16" t="s">
        <v>378</v>
      </c>
      <c r="C161" s="16" t="s">
        <v>379</v>
      </c>
      <c r="D161" s="16" t="s">
        <v>20</v>
      </c>
      <c r="E161" s="16" t="s">
        <v>78</v>
      </c>
    </row>
    <row r="162" spans="1:5" x14ac:dyDescent="0.25">
      <c r="A162" s="15">
        <v>531477</v>
      </c>
      <c r="B162" s="16" t="s">
        <v>380</v>
      </c>
      <c r="C162" s="16" t="s">
        <v>381</v>
      </c>
      <c r="D162" s="16" t="s">
        <v>19</v>
      </c>
      <c r="E162" s="16" t="s">
        <v>78</v>
      </c>
    </row>
    <row r="163" spans="1:5" x14ac:dyDescent="0.25">
      <c r="A163" s="15">
        <v>531687</v>
      </c>
      <c r="B163" s="16" t="s">
        <v>382</v>
      </c>
      <c r="C163" s="16" t="s">
        <v>383</v>
      </c>
      <c r="D163" s="16" t="s">
        <v>19</v>
      </c>
      <c r="E163" s="16" t="s">
        <v>78</v>
      </c>
    </row>
    <row r="164" spans="1:5" x14ac:dyDescent="0.25">
      <c r="A164" s="15">
        <v>533763</v>
      </c>
      <c r="B164" s="16" t="s">
        <v>384</v>
      </c>
      <c r="C164" s="16" t="s">
        <v>385</v>
      </c>
      <c r="D164" s="16" t="s">
        <v>23</v>
      </c>
      <c r="E164" s="16" t="s">
        <v>78</v>
      </c>
    </row>
    <row r="165" spans="1:5" x14ac:dyDescent="0.25">
      <c r="A165" s="15">
        <v>531417</v>
      </c>
      <c r="B165" s="16" t="s">
        <v>386</v>
      </c>
      <c r="C165" s="16" t="s">
        <v>387</v>
      </c>
      <c r="D165" s="16" t="s">
        <v>19</v>
      </c>
      <c r="E165" s="16" t="s">
        <v>78</v>
      </c>
    </row>
    <row r="166" spans="1:5" x14ac:dyDescent="0.25">
      <c r="A166" s="15">
        <v>531855</v>
      </c>
      <c r="B166" s="16" t="s">
        <v>388</v>
      </c>
      <c r="C166" s="16" t="s">
        <v>389</v>
      </c>
      <c r="D166" s="16" t="s">
        <v>12</v>
      </c>
      <c r="E166" s="16" t="s">
        <v>78</v>
      </c>
    </row>
    <row r="167" spans="1:5" x14ac:dyDescent="0.25">
      <c r="A167" s="15">
        <v>531673</v>
      </c>
      <c r="B167" s="16" t="s">
        <v>390</v>
      </c>
      <c r="C167" s="16" t="s">
        <v>391</v>
      </c>
      <c r="D167" s="16" t="s">
        <v>19</v>
      </c>
      <c r="E167" s="16" t="s">
        <v>78</v>
      </c>
    </row>
    <row r="168" spans="1:5" x14ac:dyDescent="0.25">
      <c r="A168" s="15">
        <v>531539</v>
      </c>
      <c r="B168" s="16" t="s">
        <v>392</v>
      </c>
      <c r="C168" s="16" t="s">
        <v>393</v>
      </c>
      <c r="D168" s="16" t="s">
        <v>19</v>
      </c>
      <c r="E168" s="16" t="s">
        <v>78</v>
      </c>
    </row>
    <row r="169" spans="1:5" x14ac:dyDescent="0.25">
      <c r="A169" s="15">
        <v>528004</v>
      </c>
      <c r="B169" s="16" t="s">
        <v>394</v>
      </c>
      <c r="C169" s="16" t="s">
        <v>395</v>
      </c>
      <c r="D169" s="16" t="s">
        <v>19</v>
      </c>
      <c r="E169" s="16" t="s">
        <v>78</v>
      </c>
    </row>
    <row r="170" spans="1:5" x14ac:dyDescent="0.25">
      <c r="A170" s="15">
        <v>531507</v>
      </c>
      <c r="B170" s="16" t="s">
        <v>396</v>
      </c>
      <c r="C170" s="16" t="s">
        <v>397</v>
      </c>
      <c r="D170" s="16" t="s">
        <v>19</v>
      </c>
      <c r="E170" s="16" t="s">
        <v>78</v>
      </c>
    </row>
    <row r="171" spans="1:5" x14ac:dyDescent="0.25">
      <c r="A171" s="15">
        <v>527931</v>
      </c>
      <c r="B171" s="16" t="s">
        <v>398</v>
      </c>
      <c r="C171" s="16" t="s">
        <v>399</v>
      </c>
      <c r="D171" s="16" t="s">
        <v>19</v>
      </c>
      <c r="E171" s="16" t="s">
        <v>78</v>
      </c>
    </row>
    <row r="172" spans="1:5" x14ac:dyDescent="0.25">
      <c r="A172" s="15">
        <v>531482</v>
      </c>
      <c r="B172" s="16" t="s">
        <v>400</v>
      </c>
      <c r="C172" s="16" t="s">
        <v>401</v>
      </c>
      <c r="D172" s="16" t="s">
        <v>19</v>
      </c>
      <c r="E172" s="16" t="s">
        <v>78</v>
      </c>
    </row>
    <row r="173" spans="1:5" x14ac:dyDescent="0.25">
      <c r="A173" s="15">
        <v>531526</v>
      </c>
      <c r="B173" s="16" t="s">
        <v>402</v>
      </c>
      <c r="C173" s="16" t="s">
        <v>403</v>
      </c>
      <c r="D173" s="16" t="s">
        <v>19</v>
      </c>
      <c r="E173" s="16" t="s">
        <v>78</v>
      </c>
    </row>
    <row r="174" spans="1:5" x14ac:dyDescent="0.25">
      <c r="A174" s="15">
        <v>531397</v>
      </c>
      <c r="B174" s="16" t="s">
        <v>404</v>
      </c>
      <c r="C174" s="16" t="s">
        <v>405</v>
      </c>
      <c r="D174" s="16" t="s">
        <v>19</v>
      </c>
      <c r="E174" s="16" t="s">
        <v>78</v>
      </c>
    </row>
    <row r="175" spans="1:5" x14ac:dyDescent="0.25">
      <c r="A175" s="15">
        <v>531656</v>
      </c>
      <c r="B175" s="16" t="s">
        <v>406</v>
      </c>
      <c r="C175" s="16" t="s">
        <v>407</v>
      </c>
      <c r="D175" s="16" t="s">
        <v>19</v>
      </c>
      <c r="E175" s="16" t="s">
        <v>78</v>
      </c>
    </row>
    <row r="176" spans="1:5" x14ac:dyDescent="0.25">
      <c r="A176" s="15">
        <v>531538</v>
      </c>
      <c r="B176" s="16" t="s">
        <v>408</v>
      </c>
      <c r="C176" s="16" t="s">
        <v>409</v>
      </c>
      <c r="D176" s="16" t="s">
        <v>19</v>
      </c>
      <c r="E176" s="16" t="s">
        <v>78</v>
      </c>
    </row>
    <row r="177" spans="1:5" x14ac:dyDescent="0.25">
      <c r="A177" s="15">
        <v>531840</v>
      </c>
      <c r="B177" s="16" t="s">
        <v>410</v>
      </c>
      <c r="C177" s="16" t="s">
        <v>411</v>
      </c>
      <c r="D177" s="16" t="s">
        <v>12</v>
      </c>
      <c r="E177" s="16" t="s">
        <v>412</v>
      </c>
    </row>
    <row r="178" spans="1:5" x14ac:dyDescent="0.25">
      <c r="A178" s="15">
        <v>531761</v>
      </c>
      <c r="B178" s="16" t="s">
        <v>413</v>
      </c>
      <c r="C178" s="16" t="s">
        <v>414</v>
      </c>
      <c r="D178" s="16" t="s">
        <v>415</v>
      </c>
      <c r="E178" s="16" t="s">
        <v>416</v>
      </c>
    </row>
    <row r="179" spans="1:5" x14ac:dyDescent="0.25">
      <c r="A179" s="15">
        <v>539366</v>
      </c>
      <c r="B179" s="16" t="s">
        <v>417</v>
      </c>
      <c r="C179" s="16" t="s">
        <v>418</v>
      </c>
      <c r="D179" s="16" t="s">
        <v>20</v>
      </c>
      <c r="E179" s="16" t="s">
        <v>412</v>
      </c>
    </row>
    <row r="180" spans="1:5" x14ac:dyDescent="0.25">
      <c r="A180" s="15">
        <v>486592</v>
      </c>
      <c r="B180" s="16" t="s">
        <v>419</v>
      </c>
      <c r="C180" s="16" t="s">
        <v>420</v>
      </c>
      <c r="D180" s="16" t="s">
        <v>21</v>
      </c>
      <c r="E180" s="16" t="s">
        <v>421</v>
      </c>
    </row>
    <row r="181" spans="1:5" x14ac:dyDescent="0.25">
      <c r="A181" s="15">
        <v>531670</v>
      </c>
      <c r="B181" s="16" t="s">
        <v>422</v>
      </c>
      <c r="C181" s="16" t="s">
        <v>423</v>
      </c>
      <c r="D181" s="16" t="s">
        <v>19</v>
      </c>
      <c r="E181" s="16" t="s">
        <v>78</v>
      </c>
    </row>
    <row r="182" spans="1:5" x14ac:dyDescent="0.25">
      <c r="A182" s="15">
        <v>531595</v>
      </c>
      <c r="B182" s="16" t="s">
        <v>424</v>
      </c>
      <c r="C182" s="16" t="s">
        <v>425</v>
      </c>
      <c r="D182" s="16" t="s">
        <v>19</v>
      </c>
      <c r="E182" s="16" t="s">
        <v>78</v>
      </c>
    </row>
    <row r="183" spans="1:5" x14ac:dyDescent="0.25">
      <c r="A183" s="15">
        <v>531508</v>
      </c>
      <c r="B183" s="16" t="s">
        <v>426</v>
      </c>
      <c r="C183" s="16" t="s">
        <v>427</v>
      </c>
      <c r="D183" s="16" t="s">
        <v>19</v>
      </c>
      <c r="E183" s="16" t="s">
        <v>78</v>
      </c>
    </row>
    <row r="184" spans="1:5" x14ac:dyDescent="0.25">
      <c r="A184" s="15">
        <v>481620</v>
      </c>
      <c r="B184" s="16" t="s">
        <v>428</v>
      </c>
      <c r="C184" s="16" t="s">
        <v>429</v>
      </c>
      <c r="D184" s="16" t="s">
        <v>18</v>
      </c>
      <c r="E184" s="16" t="s">
        <v>78</v>
      </c>
    </row>
    <row r="185" spans="1:5" x14ac:dyDescent="0.25">
      <c r="A185" s="15">
        <v>531551</v>
      </c>
      <c r="B185" s="16" t="s">
        <v>430</v>
      </c>
      <c r="C185" s="16" t="s">
        <v>431</v>
      </c>
      <c r="D185" s="16" t="s">
        <v>19</v>
      </c>
      <c r="E185" s="16" t="s">
        <v>78</v>
      </c>
    </row>
    <row r="186" spans="1:5" x14ac:dyDescent="0.25">
      <c r="A186" s="15">
        <v>531761</v>
      </c>
      <c r="B186" s="16" t="s">
        <v>413</v>
      </c>
      <c r="C186" s="16" t="s">
        <v>414</v>
      </c>
      <c r="D186" s="16" t="s">
        <v>12</v>
      </c>
      <c r="E186" s="16" t="s">
        <v>78</v>
      </c>
    </row>
    <row r="187" spans="1:5" x14ac:dyDescent="0.25">
      <c r="A187" s="15">
        <v>497754</v>
      </c>
      <c r="B187" s="16" t="s">
        <v>432</v>
      </c>
      <c r="C187" s="16" t="s">
        <v>433</v>
      </c>
      <c r="D187" s="16" t="s">
        <v>12</v>
      </c>
      <c r="E187" s="16" t="s">
        <v>78</v>
      </c>
    </row>
    <row r="188" spans="1:5" x14ac:dyDescent="0.25">
      <c r="A188" s="15">
        <v>531397</v>
      </c>
      <c r="B188" s="16" t="s">
        <v>404</v>
      </c>
      <c r="C188" s="16" t="s">
        <v>405</v>
      </c>
      <c r="D188" s="16" t="s">
        <v>19</v>
      </c>
      <c r="E188" s="16" t="s">
        <v>78</v>
      </c>
    </row>
    <row r="189" spans="1:5" x14ac:dyDescent="0.25">
      <c r="A189" s="15">
        <v>548147</v>
      </c>
      <c r="B189" s="16" t="s">
        <v>434</v>
      </c>
      <c r="C189" s="16" t="s">
        <v>435</v>
      </c>
      <c r="D189" s="16" t="s">
        <v>23</v>
      </c>
      <c r="E189" s="16" t="s">
        <v>436</v>
      </c>
    </row>
    <row r="190" spans="1:5" x14ac:dyDescent="0.25">
      <c r="A190" s="15">
        <v>531814</v>
      </c>
      <c r="B190" s="16" t="s">
        <v>437</v>
      </c>
      <c r="C190" s="16" t="s">
        <v>438</v>
      </c>
      <c r="D190" s="16" t="s">
        <v>12</v>
      </c>
      <c r="E190" s="16" t="s">
        <v>78</v>
      </c>
    </row>
    <row r="191" spans="1:5" x14ac:dyDescent="0.25">
      <c r="A191" s="15">
        <v>541902</v>
      </c>
      <c r="B191" s="16" t="s">
        <v>439</v>
      </c>
      <c r="C191" s="16" t="s">
        <v>440</v>
      </c>
      <c r="D191" s="16" t="s">
        <v>20</v>
      </c>
      <c r="E191" s="16" t="s">
        <v>78</v>
      </c>
    </row>
    <row r="192" spans="1:5" x14ac:dyDescent="0.25">
      <c r="A192" s="15">
        <v>531383</v>
      </c>
      <c r="B192" s="16" t="s">
        <v>441</v>
      </c>
      <c r="C192" s="16" t="s">
        <v>442</v>
      </c>
      <c r="D192" s="16" t="s">
        <v>19</v>
      </c>
      <c r="E192" s="16" t="s">
        <v>78</v>
      </c>
    </row>
    <row r="193" spans="1:5" x14ac:dyDescent="0.25">
      <c r="A193" s="15">
        <v>531427</v>
      </c>
      <c r="B193" s="16" t="s">
        <v>443</v>
      </c>
      <c r="C193" s="16" t="s">
        <v>444</v>
      </c>
      <c r="D193" s="16" t="s">
        <v>19</v>
      </c>
      <c r="E193" s="16" t="s">
        <v>78</v>
      </c>
    </row>
    <row r="194" spans="1:5" x14ac:dyDescent="0.25">
      <c r="A194" s="15">
        <v>531613</v>
      </c>
      <c r="B194" s="16" t="s">
        <v>445</v>
      </c>
      <c r="C194" s="16" t="s">
        <v>446</v>
      </c>
      <c r="D194" s="16" t="s">
        <v>19</v>
      </c>
      <c r="E194" s="16" t="s">
        <v>78</v>
      </c>
    </row>
    <row r="195" spans="1:5" x14ac:dyDescent="0.25">
      <c r="A195" s="15">
        <v>531592</v>
      </c>
      <c r="B195" s="16" t="s">
        <v>447</v>
      </c>
      <c r="C195" s="16" t="s">
        <v>448</v>
      </c>
      <c r="D195" s="16" t="s">
        <v>19</v>
      </c>
      <c r="E195" s="16" t="s">
        <v>78</v>
      </c>
    </row>
    <row r="196" spans="1:5" x14ac:dyDescent="0.25">
      <c r="A196" s="15">
        <v>531649</v>
      </c>
      <c r="B196" s="16" t="s">
        <v>449</v>
      </c>
      <c r="C196" s="16" t="s">
        <v>450</v>
      </c>
      <c r="D196" s="16" t="s">
        <v>19</v>
      </c>
      <c r="E196" s="16" t="s">
        <v>78</v>
      </c>
    </row>
    <row r="197" spans="1:5" x14ac:dyDescent="0.25">
      <c r="A197" s="15">
        <v>527999</v>
      </c>
      <c r="B197" s="16" t="s">
        <v>451</v>
      </c>
      <c r="C197" s="16" t="s">
        <v>452</v>
      </c>
      <c r="D197" s="16" t="s">
        <v>19</v>
      </c>
      <c r="E197" s="16" t="s">
        <v>78</v>
      </c>
    </row>
    <row r="198" spans="1:5" x14ac:dyDescent="0.25">
      <c r="A198" s="15">
        <v>527976</v>
      </c>
      <c r="B198" s="16" t="s">
        <v>453</v>
      </c>
      <c r="C198" s="16" t="s">
        <v>454</v>
      </c>
      <c r="D198" s="16" t="s">
        <v>19</v>
      </c>
      <c r="E198" s="16" t="s">
        <v>78</v>
      </c>
    </row>
    <row r="199" spans="1:5" x14ac:dyDescent="0.25">
      <c r="A199" s="15">
        <v>527949</v>
      </c>
      <c r="B199" s="16" t="s">
        <v>455</v>
      </c>
      <c r="C199" s="16" t="s">
        <v>456</v>
      </c>
      <c r="D199" s="16" t="s">
        <v>19</v>
      </c>
      <c r="E199" s="16" t="s">
        <v>78</v>
      </c>
    </row>
    <row r="200" spans="1:5" x14ac:dyDescent="0.25">
      <c r="A200" s="15">
        <v>531802</v>
      </c>
      <c r="B200" s="16" t="s">
        <v>457</v>
      </c>
      <c r="C200" s="16" t="s">
        <v>458</v>
      </c>
      <c r="D200" s="16" t="s">
        <v>12</v>
      </c>
      <c r="E200" s="16" t="s">
        <v>78</v>
      </c>
    </row>
    <row r="201" spans="1:5" x14ac:dyDescent="0.25">
      <c r="A201" s="15">
        <v>527903</v>
      </c>
      <c r="B201" s="16" t="s">
        <v>459</v>
      </c>
      <c r="C201" s="16" t="s">
        <v>460</v>
      </c>
      <c r="D201" s="16" t="s">
        <v>19</v>
      </c>
      <c r="E201" s="16" t="s">
        <v>78</v>
      </c>
    </row>
    <row r="202" spans="1:5" x14ac:dyDescent="0.25">
      <c r="A202" s="15">
        <v>527964</v>
      </c>
      <c r="B202" s="16" t="s">
        <v>461</v>
      </c>
      <c r="C202" s="16" t="s">
        <v>462</v>
      </c>
      <c r="D202" s="16" t="s">
        <v>19</v>
      </c>
      <c r="E202" s="16" t="s">
        <v>78</v>
      </c>
    </row>
    <row r="203" spans="1:5" x14ac:dyDescent="0.25">
      <c r="A203" s="15">
        <v>531550</v>
      </c>
      <c r="B203" s="16" t="s">
        <v>463</v>
      </c>
      <c r="C203" s="16" t="s">
        <v>464</v>
      </c>
      <c r="D203" s="16" t="s">
        <v>19</v>
      </c>
      <c r="E203" s="16" t="s">
        <v>78</v>
      </c>
    </row>
    <row r="204" spans="1:5" x14ac:dyDescent="0.25">
      <c r="A204" s="15">
        <v>531573</v>
      </c>
      <c r="B204" s="16" t="s">
        <v>465</v>
      </c>
      <c r="C204" s="16" t="s">
        <v>466</v>
      </c>
      <c r="D204" s="16" t="s">
        <v>19</v>
      </c>
      <c r="E204" s="16" t="s">
        <v>78</v>
      </c>
    </row>
    <row r="205" spans="1:5" x14ac:dyDescent="0.25">
      <c r="A205" s="15">
        <v>531768</v>
      </c>
      <c r="B205" s="16" t="s">
        <v>467</v>
      </c>
      <c r="C205" s="16" t="s">
        <v>468</v>
      </c>
      <c r="D205" s="16" t="s">
        <v>12</v>
      </c>
      <c r="E205" s="16" t="s">
        <v>78</v>
      </c>
    </row>
    <row r="206" spans="1:5" x14ac:dyDescent="0.25">
      <c r="A206" s="15">
        <v>527902</v>
      </c>
      <c r="B206" s="16" t="s">
        <v>469</v>
      </c>
      <c r="C206" s="16" t="s">
        <v>470</v>
      </c>
      <c r="D206" s="16" t="s">
        <v>19</v>
      </c>
      <c r="E206" s="16" t="s">
        <v>78</v>
      </c>
    </row>
    <row r="207" spans="1:5" x14ac:dyDescent="0.25">
      <c r="A207" s="15">
        <v>528016</v>
      </c>
      <c r="B207" s="16" t="s">
        <v>471</v>
      </c>
      <c r="C207" s="16" t="s">
        <v>472</v>
      </c>
      <c r="D207" s="16" t="s">
        <v>19</v>
      </c>
      <c r="E207" s="16" t="s">
        <v>412</v>
      </c>
    </row>
    <row r="208" spans="1:5" x14ac:dyDescent="0.25">
      <c r="A208" s="15">
        <v>527991</v>
      </c>
      <c r="B208" s="16" t="s">
        <v>473</v>
      </c>
      <c r="C208" s="16" t="s">
        <v>474</v>
      </c>
      <c r="D208" s="16" t="s">
        <v>19</v>
      </c>
      <c r="E208" s="16" t="s">
        <v>78</v>
      </c>
    </row>
    <row r="209" spans="1:5" x14ac:dyDescent="0.25">
      <c r="A209" s="15">
        <v>531530</v>
      </c>
      <c r="B209" s="16" t="s">
        <v>475</v>
      </c>
      <c r="C209" s="16" t="s">
        <v>476</v>
      </c>
      <c r="D209" s="16" t="s">
        <v>19</v>
      </c>
      <c r="E209" s="16" t="s">
        <v>78</v>
      </c>
    </row>
    <row r="210" spans="1:5" x14ac:dyDescent="0.25">
      <c r="A210" s="15">
        <v>527871</v>
      </c>
      <c r="B210" s="16" t="s">
        <v>477</v>
      </c>
      <c r="C210" s="16" t="s">
        <v>478</v>
      </c>
      <c r="D210" s="16" t="s">
        <v>19</v>
      </c>
      <c r="E210" s="16" t="s">
        <v>78</v>
      </c>
    </row>
    <row r="211" spans="1:5" x14ac:dyDescent="0.25">
      <c r="A211" s="15">
        <v>531823</v>
      </c>
      <c r="B211" s="16" t="s">
        <v>479</v>
      </c>
      <c r="C211" s="16" t="s">
        <v>480</v>
      </c>
      <c r="D211" s="16" t="s">
        <v>12</v>
      </c>
      <c r="E211" s="16" t="s">
        <v>78</v>
      </c>
    </row>
    <row r="212" spans="1:5" x14ac:dyDescent="0.25">
      <c r="A212" s="15">
        <v>531582</v>
      </c>
      <c r="B212" s="16" t="s">
        <v>481</v>
      </c>
      <c r="C212" s="16" t="s">
        <v>482</v>
      </c>
      <c r="D212" s="16" t="s">
        <v>19</v>
      </c>
      <c r="E212" s="16" t="s">
        <v>78</v>
      </c>
    </row>
    <row r="213" spans="1:5" x14ac:dyDescent="0.25">
      <c r="A213" s="15">
        <v>539361</v>
      </c>
      <c r="B213" s="16" t="s">
        <v>483</v>
      </c>
      <c r="C213" s="16" t="s">
        <v>484</v>
      </c>
      <c r="D213" s="16" t="s">
        <v>20</v>
      </c>
      <c r="E213" s="16" t="s">
        <v>78</v>
      </c>
    </row>
    <row r="214" spans="1:5" x14ac:dyDescent="0.25">
      <c r="A214" s="15">
        <v>531393</v>
      </c>
      <c r="B214" s="16" t="s">
        <v>485</v>
      </c>
      <c r="C214" s="16" t="s">
        <v>486</v>
      </c>
      <c r="D214" s="16" t="s">
        <v>19</v>
      </c>
      <c r="E214" s="16" t="s">
        <v>78</v>
      </c>
    </row>
    <row r="215" spans="1:5" x14ac:dyDescent="0.25">
      <c r="A215" s="15">
        <v>527871</v>
      </c>
      <c r="B215" s="16" t="s">
        <v>477</v>
      </c>
      <c r="C215" s="16" t="s">
        <v>478</v>
      </c>
      <c r="D215" s="16" t="s">
        <v>19</v>
      </c>
      <c r="E215" s="16" t="s">
        <v>78</v>
      </c>
    </row>
    <row r="216" spans="1:5" x14ac:dyDescent="0.25">
      <c r="A216" s="15">
        <v>531835</v>
      </c>
      <c r="B216" s="16" t="s">
        <v>487</v>
      </c>
      <c r="C216" s="16" t="s">
        <v>488</v>
      </c>
      <c r="D216" s="16" t="s">
        <v>12</v>
      </c>
      <c r="E216" s="16" t="s">
        <v>78</v>
      </c>
    </row>
    <row r="217" spans="1:5" x14ac:dyDescent="0.25">
      <c r="A217" s="15">
        <v>531382</v>
      </c>
      <c r="B217" s="16" t="s">
        <v>489</v>
      </c>
      <c r="C217" s="16" t="s">
        <v>490</v>
      </c>
      <c r="D217" s="16" t="s">
        <v>19</v>
      </c>
      <c r="E217" s="16" t="s">
        <v>78</v>
      </c>
    </row>
    <row r="218" spans="1:5" x14ac:dyDescent="0.25">
      <c r="A218" s="15">
        <v>527969</v>
      </c>
      <c r="B218" s="16" t="s">
        <v>491</v>
      </c>
      <c r="C218" s="16" t="s">
        <v>492</v>
      </c>
      <c r="D218" s="16" t="s">
        <v>19</v>
      </c>
      <c r="E218" s="16" t="s">
        <v>78</v>
      </c>
    </row>
    <row r="219" spans="1:5" x14ac:dyDescent="0.25">
      <c r="A219" s="15">
        <v>527981</v>
      </c>
      <c r="B219" s="16" t="s">
        <v>493</v>
      </c>
      <c r="C219" s="16" t="s">
        <v>494</v>
      </c>
      <c r="D219" s="16" t="s">
        <v>19</v>
      </c>
      <c r="E219" s="16" t="s">
        <v>78</v>
      </c>
    </row>
    <row r="220" spans="1:5" x14ac:dyDescent="0.25">
      <c r="A220" s="15">
        <v>531524</v>
      </c>
      <c r="B220" s="16" t="s">
        <v>495</v>
      </c>
      <c r="C220" s="16" t="s">
        <v>496</v>
      </c>
      <c r="D220" s="16" t="s">
        <v>19</v>
      </c>
      <c r="E220" s="16" t="s">
        <v>78</v>
      </c>
    </row>
    <row r="221" spans="1:5" x14ac:dyDescent="0.25">
      <c r="A221" s="15">
        <v>527588</v>
      </c>
      <c r="B221" s="16" t="s">
        <v>497</v>
      </c>
      <c r="C221" s="16" t="s">
        <v>498</v>
      </c>
      <c r="D221" s="16" t="s">
        <v>19</v>
      </c>
      <c r="E221" s="16" t="s">
        <v>78</v>
      </c>
    </row>
    <row r="222" spans="1:5" x14ac:dyDescent="0.25">
      <c r="A222" s="15">
        <v>527870</v>
      </c>
      <c r="B222" s="16" t="s">
        <v>499</v>
      </c>
      <c r="C222" s="16" t="s">
        <v>500</v>
      </c>
      <c r="D222" s="16" t="s">
        <v>19</v>
      </c>
      <c r="E222" s="16" t="s">
        <v>78</v>
      </c>
    </row>
    <row r="223" spans="1:5" x14ac:dyDescent="0.25">
      <c r="A223" s="15">
        <v>541507</v>
      </c>
      <c r="B223" s="16" t="s">
        <v>501</v>
      </c>
      <c r="C223" s="16" t="s">
        <v>502</v>
      </c>
      <c r="D223" s="16" t="s">
        <v>20</v>
      </c>
      <c r="E223" s="16" t="s">
        <v>78</v>
      </c>
    </row>
    <row r="224" spans="1:5" x14ac:dyDescent="0.25">
      <c r="A224" s="15">
        <v>541500</v>
      </c>
      <c r="B224" s="16" t="s">
        <v>503</v>
      </c>
      <c r="C224" s="16" t="s">
        <v>504</v>
      </c>
      <c r="D224" s="16" t="s">
        <v>20</v>
      </c>
      <c r="E224" s="16" t="s">
        <v>78</v>
      </c>
    </row>
    <row r="225" spans="1:5" x14ac:dyDescent="0.25">
      <c r="A225" s="15">
        <v>531638</v>
      </c>
      <c r="B225" s="16" t="s">
        <v>505</v>
      </c>
      <c r="C225" s="16" t="s">
        <v>506</v>
      </c>
      <c r="D225" s="16" t="s">
        <v>19</v>
      </c>
      <c r="E225" s="16" t="s">
        <v>78</v>
      </c>
    </row>
    <row r="226" spans="1:5" x14ac:dyDescent="0.25">
      <c r="A226" s="15">
        <v>498612</v>
      </c>
      <c r="B226" s="16" t="s">
        <v>507</v>
      </c>
      <c r="C226" s="16" t="s">
        <v>508</v>
      </c>
      <c r="D226" s="16" t="s">
        <v>19</v>
      </c>
      <c r="E226" s="16" t="s">
        <v>78</v>
      </c>
    </row>
    <row r="227" spans="1:5" x14ac:dyDescent="0.25">
      <c r="A227" s="15">
        <v>531472</v>
      </c>
      <c r="B227" s="16" t="s">
        <v>509</v>
      </c>
      <c r="C227" s="16" t="s">
        <v>510</v>
      </c>
      <c r="D227" s="16" t="s">
        <v>19</v>
      </c>
      <c r="E227" s="16" t="s">
        <v>78</v>
      </c>
    </row>
    <row r="228" spans="1:5" x14ac:dyDescent="0.25">
      <c r="A228" s="15">
        <v>531650</v>
      </c>
      <c r="B228" s="16" t="s">
        <v>511</v>
      </c>
      <c r="C228" s="16" t="s">
        <v>512</v>
      </c>
      <c r="D228" s="16" t="s">
        <v>19</v>
      </c>
      <c r="E228" s="16" t="s">
        <v>78</v>
      </c>
    </row>
    <row r="229" spans="1:5" x14ac:dyDescent="0.25">
      <c r="A229" s="15">
        <v>531544</v>
      </c>
      <c r="B229" s="16" t="s">
        <v>513</v>
      </c>
      <c r="C229" s="16" t="s">
        <v>514</v>
      </c>
      <c r="D229" s="16" t="s">
        <v>19</v>
      </c>
      <c r="E229" s="16" t="s">
        <v>78</v>
      </c>
    </row>
    <row r="230" spans="1:5" x14ac:dyDescent="0.25">
      <c r="A230" s="15">
        <v>541504</v>
      </c>
      <c r="B230" s="16" t="s">
        <v>515</v>
      </c>
      <c r="C230" s="16" t="s">
        <v>516</v>
      </c>
      <c r="D230" s="16" t="s">
        <v>20</v>
      </c>
      <c r="E230" s="16" t="s">
        <v>78</v>
      </c>
    </row>
    <row r="231" spans="1:5" x14ac:dyDescent="0.25">
      <c r="A231" s="15">
        <v>531419</v>
      </c>
      <c r="B231" s="16" t="s">
        <v>517</v>
      </c>
      <c r="C231" s="16" t="s">
        <v>518</v>
      </c>
      <c r="D231" s="16" t="s">
        <v>19</v>
      </c>
      <c r="E231" s="16" t="s">
        <v>78</v>
      </c>
    </row>
    <row r="232" spans="1:5" x14ac:dyDescent="0.25">
      <c r="A232" s="15">
        <v>531528</v>
      </c>
      <c r="B232" s="16" t="s">
        <v>519</v>
      </c>
      <c r="C232" s="16" t="s">
        <v>520</v>
      </c>
      <c r="D232" s="16" t="s">
        <v>19</v>
      </c>
      <c r="E232" s="16" t="s">
        <v>78</v>
      </c>
    </row>
    <row r="233" spans="1:5" x14ac:dyDescent="0.25">
      <c r="A233" s="15">
        <v>531745</v>
      </c>
      <c r="B233" s="16" t="s">
        <v>521</v>
      </c>
      <c r="C233" s="16" t="s">
        <v>522</v>
      </c>
      <c r="D233" s="16" t="s">
        <v>12</v>
      </c>
      <c r="E233" s="16" t="s">
        <v>78</v>
      </c>
    </row>
    <row r="234" spans="1:5" x14ac:dyDescent="0.25">
      <c r="A234" s="15">
        <v>531763</v>
      </c>
      <c r="B234" s="16" t="s">
        <v>523</v>
      </c>
      <c r="C234" s="16" t="s">
        <v>524</v>
      </c>
      <c r="D234" s="16" t="s">
        <v>12</v>
      </c>
      <c r="E234" s="16" t="s">
        <v>78</v>
      </c>
    </row>
    <row r="235" spans="1:5" x14ac:dyDescent="0.25">
      <c r="A235" s="15">
        <v>532343</v>
      </c>
      <c r="B235" s="16" t="s">
        <v>525</v>
      </c>
      <c r="C235" s="16" t="s">
        <v>526</v>
      </c>
      <c r="D235" s="16" t="s">
        <v>20</v>
      </c>
      <c r="E235" s="16" t="s">
        <v>78</v>
      </c>
    </row>
    <row r="236" spans="1:5" x14ac:dyDescent="0.25">
      <c r="A236" s="15">
        <v>527994</v>
      </c>
      <c r="B236" s="16" t="s">
        <v>527</v>
      </c>
      <c r="C236" s="16" t="s">
        <v>528</v>
      </c>
      <c r="D236" s="16" t="s">
        <v>19</v>
      </c>
      <c r="E236" s="16" t="s">
        <v>78</v>
      </c>
    </row>
    <row r="237" spans="1:5" x14ac:dyDescent="0.25">
      <c r="A237" s="15">
        <v>531399</v>
      </c>
      <c r="B237" s="16" t="s">
        <v>529</v>
      </c>
      <c r="C237" s="16" t="s">
        <v>530</v>
      </c>
      <c r="D237" s="16" t="s">
        <v>19</v>
      </c>
      <c r="E237" s="16" t="s">
        <v>78</v>
      </c>
    </row>
    <row r="238" spans="1:5" x14ac:dyDescent="0.25">
      <c r="A238" s="15">
        <v>531758</v>
      </c>
      <c r="B238" s="16" t="s">
        <v>531</v>
      </c>
      <c r="C238" s="16" t="s">
        <v>532</v>
      </c>
      <c r="D238" s="16" t="s">
        <v>12</v>
      </c>
      <c r="E238" s="16" t="s">
        <v>78</v>
      </c>
    </row>
    <row r="239" spans="1:5" x14ac:dyDescent="0.25">
      <c r="A239" s="15">
        <v>527971</v>
      </c>
      <c r="B239" s="16" t="s">
        <v>533</v>
      </c>
      <c r="C239" s="16" t="s">
        <v>534</v>
      </c>
      <c r="D239" s="16" t="s">
        <v>19</v>
      </c>
      <c r="E239" s="16" t="s">
        <v>78</v>
      </c>
    </row>
    <row r="240" spans="1:5" x14ac:dyDescent="0.25">
      <c r="A240" s="15">
        <v>531496</v>
      </c>
      <c r="B240" s="16" t="s">
        <v>535</v>
      </c>
      <c r="C240" s="16" t="s">
        <v>536</v>
      </c>
      <c r="D240" s="16" t="s">
        <v>19</v>
      </c>
      <c r="E240" s="16" t="s">
        <v>78</v>
      </c>
    </row>
    <row r="241" spans="1:5" x14ac:dyDescent="0.25">
      <c r="A241" s="15">
        <v>535736</v>
      </c>
      <c r="B241" s="16" t="s">
        <v>537</v>
      </c>
      <c r="C241" s="16" t="s">
        <v>538</v>
      </c>
      <c r="D241" s="16" t="s">
        <v>13</v>
      </c>
      <c r="E241" s="16" t="s">
        <v>78</v>
      </c>
    </row>
    <row r="242" spans="1:5" x14ac:dyDescent="0.25">
      <c r="A242" s="15">
        <v>510427</v>
      </c>
      <c r="B242" s="16" t="s">
        <v>539</v>
      </c>
      <c r="C242" s="16" t="s">
        <v>540</v>
      </c>
      <c r="D242" s="16" t="s">
        <v>19</v>
      </c>
      <c r="E242" s="16" t="s">
        <v>78</v>
      </c>
    </row>
    <row r="243" spans="1:5" x14ac:dyDescent="0.25">
      <c r="A243" s="15">
        <v>531564</v>
      </c>
      <c r="B243" s="16" t="s">
        <v>541</v>
      </c>
      <c r="C243" s="16" t="s">
        <v>542</v>
      </c>
      <c r="D243" s="16" t="s">
        <v>19</v>
      </c>
      <c r="E243" s="16" t="s">
        <v>78</v>
      </c>
    </row>
    <row r="244" spans="1:5" x14ac:dyDescent="0.25">
      <c r="A244" s="15">
        <v>531521</v>
      </c>
      <c r="B244" s="16" t="s">
        <v>543</v>
      </c>
      <c r="C244" s="16" t="s">
        <v>544</v>
      </c>
      <c r="D244" s="16" t="s">
        <v>19</v>
      </c>
      <c r="E244" s="16" t="s">
        <v>78</v>
      </c>
    </row>
    <row r="245" spans="1:5" x14ac:dyDescent="0.25">
      <c r="A245" s="15">
        <v>531484</v>
      </c>
      <c r="B245" s="16" t="s">
        <v>545</v>
      </c>
      <c r="C245" s="16" t="s">
        <v>546</v>
      </c>
      <c r="D245" s="16" t="s">
        <v>19</v>
      </c>
      <c r="E245" s="16" t="s">
        <v>78</v>
      </c>
    </row>
    <row r="246" spans="1:5" x14ac:dyDescent="0.25">
      <c r="A246" s="15">
        <v>527884</v>
      </c>
      <c r="B246" s="16" t="s">
        <v>547</v>
      </c>
      <c r="C246" s="16" t="s">
        <v>548</v>
      </c>
      <c r="D246" s="16" t="s">
        <v>19</v>
      </c>
      <c r="E246" s="16" t="s">
        <v>78</v>
      </c>
    </row>
    <row r="247" spans="1:5" x14ac:dyDescent="0.25">
      <c r="A247" s="15">
        <v>495014</v>
      </c>
      <c r="B247" s="16" t="s">
        <v>549</v>
      </c>
      <c r="C247" s="16" t="s">
        <v>550</v>
      </c>
      <c r="D247" s="16" t="s">
        <v>19</v>
      </c>
      <c r="E247" s="16" t="s">
        <v>78</v>
      </c>
    </row>
    <row r="248" spans="1:5" x14ac:dyDescent="0.25">
      <c r="A248" s="15">
        <v>531433</v>
      </c>
      <c r="B248" s="16" t="s">
        <v>551</v>
      </c>
      <c r="C248" s="16" t="s">
        <v>552</v>
      </c>
      <c r="D248" s="16" t="s">
        <v>19</v>
      </c>
      <c r="E248" s="16" t="s">
        <v>78</v>
      </c>
    </row>
    <row r="249" spans="1:5" x14ac:dyDescent="0.25">
      <c r="A249" s="15">
        <v>527965</v>
      </c>
      <c r="B249" s="16" t="s">
        <v>553</v>
      </c>
      <c r="C249" s="16" t="s">
        <v>554</v>
      </c>
      <c r="D249" s="16" t="s">
        <v>19</v>
      </c>
      <c r="E249" s="16" t="s">
        <v>78</v>
      </c>
    </row>
    <row r="250" spans="1:5" x14ac:dyDescent="0.25">
      <c r="A250" s="15">
        <v>530443</v>
      </c>
      <c r="B250" s="16" t="s">
        <v>555</v>
      </c>
      <c r="C250" s="16" t="s">
        <v>556</v>
      </c>
      <c r="D250" s="16" t="s">
        <v>19</v>
      </c>
      <c r="E250" s="16" t="s">
        <v>78</v>
      </c>
    </row>
    <row r="251" spans="1:5" x14ac:dyDescent="0.25">
      <c r="A251" s="15">
        <v>531652</v>
      </c>
      <c r="B251" s="16" t="s">
        <v>557</v>
      </c>
      <c r="C251" s="16" t="s">
        <v>558</v>
      </c>
      <c r="D251" s="16" t="s">
        <v>19</v>
      </c>
      <c r="E251" s="16" t="s">
        <v>78</v>
      </c>
    </row>
    <row r="252" spans="1:5" x14ac:dyDescent="0.25">
      <c r="A252" s="15">
        <v>527977</v>
      </c>
      <c r="B252" s="16" t="s">
        <v>559</v>
      </c>
      <c r="C252" s="16" t="s">
        <v>560</v>
      </c>
      <c r="D252" s="16" t="s">
        <v>19</v>
      </c>
      <c r="E252" s="16" t="s">
        <v>78</v>
      </c>
    </row>
    <row r="253" spans="1:5" x14ac:dyDescent="0.25">
      <c r="A253" s="15">
        <v>531447</v>
      </c>
      <c r="B253" s="16" t="s">
        <v>561</v>
      </c>
      <c r="C253" s="16" t="s">
        <v>562</v>
      </c>
      <c r="D253" s="16" t="s">
        <v>19</v>
      </c>
      <c r="E253" s="16" t="s">
        <v>78</v>
      </c>
    </row>
    <row r="254" spans="1:5" x14ac:dyDescent="0.25">
      <c r="A254" s="15">
        <v>531459</v>
      </c>
      <c r="B254" s="16" t="s">
        <v>563</v>
      </c>
      <c r="C254" s="16" t="s">
        <v>564</v>
      </c>
      <c r="D254" s="16" t="s">
        <v>19</v>
      </c>
      <c r="E254" s="16" t="s">
        <v>78</v>
      </c>
    </row>
    <row r="255" spans="1:5" x14ac:dyDescent="0.25">
      <c r="A255" s="15">
        <v>531565</v>
      </c>
      <c r="B255" s="16" t="s">
        <v>565</v>
      </c>
      <c r="C255" s="16" t="s">
        <v>566</v>
      </c>
      <c r="D255" s="16" t="s">
        <v>19</v>
      </c>
      <c r="E255" s="16" t="s">
        <v>416</v>
      </c>
    </row>
    <row r="256" spans="1:5" x14ac:dyDescent="0.25">
      <c r="A256" s="15">
        <v>531469</v>
      </c>
      <c r="B256" s="16" t="s">
        <v>567</v>
      </c>
      <c r="C256" s="16" t="s">
        <v>568</v>
      </c>
      <c r="D256" s="16" t="s">
        <v>19</v>
      </c>
      <c r="E256" s="16" t="s">
        <v>78</v>
      </c>
    </row>
    <row r="257" spans="1:5" x14ac:dyDescent="0.25">
      <c r="A257" s="15">
        <v>513966</v>
      </c>
      <c r="B257" s="16" t="s">
        <v>569</v>
      </c>
      <c r="C257" s="16" t="s">
        <v>570</v>
      </c>
      <c r="D257" s="16" t="s">
        <v>19</v>
      </c>
      <c r="E257" s="16" t="s">
        <v>78</v>
      </c>
    </row>
    <row r="258" spans="1:5" x14ac:dyDescent="0.25">
      <c r="A258" s="15">
        <v>531561</v>
      </c>
      <c r="B258" s="16" t="s">
        <v>571</v>
      </c>
      <c r="C258" s="16" t="s">
        <v>572</v>
      </c>
      <c r="D258" s="16" t="s">
        <v>19</v>
      </c>
      <c r="E258" s="16" t="s">
        <v>78</v>
      </c>
    </row>
    <row r="259" spans="1:5" x14ac:dyDescent="0.25">
      <c r="A259" s="15">
        <v>531478</v>
      </c>
      <c r="B259" s="16" t="s">
        <v>573</v>
      </c>
      <c r="C259" s="16" t="s">
        <v>574</v>
      </c>
      <c r="D259" s="16" t="s">
        <v>19</v>
      </c>
      <c r="E259" s="16" t="s">
        <v>78</v>
      </c>
    </row>
    <row r="260" spans="1:5" x14ac:dyDescent="0.25">
      <c r="A260" s="15">
        <v>527972</v>
      </c>
      <c r="B260" s="16" t="s">
        <v>575</v>
      </c>
      <c r="C260" s="16" t="s">
        <v>576</v>
      </c>
      <c r="D260" s="16" t="s">
        <v>19</v>
      </c>
      <c r="E260" s="16" t="s">
        <v>78</v>
      </c>
    </row>
    <row r="261" spans="1:5" x14ac:dyDescent="0.25">
      <c r="A261" s="15">
        <v>531589</v>
      </c>
      <c r="B261" s="16" t="s">
        <v>577</v>
      </c>
      <c r="C261" s="16" t="s">
        <v>578</v>
      </c>
      <c r="D261" s="16" t="s">
        <v>19</v>
      </c>
      <c r="E261" s="16" t="s">
        <v>78</v>
      </c>
    </row>
    <row r="262" spans="1:5" x14ac:dyDescent="0.25">
      <c r="A262" s="15">
        <v>531389</v>
      </c>
      <c r="B262" s="16" t="s">
        <v>579</v>
      </c>
      <c r="C262" s="16" t="s">
        <v>580</v>
      </c>
      <c r="D262" s="16" t="s">
        <v>19</v>
      </c>
      <c r="E262" s="16" t="s">
        <v>78</v>
      </c>
    </row>
    <row r="263" spans="1:5" x14ac:dyDescent="0.25">
      <c r="A263" s="15">
        <v>527893</v>
      </c>
      <c r="B263" s="16" t="s">
        <v>581</v>
      </c>
      <c r="C263" s="16" t="s">
        <v>582</v>
      </c>
      <c r="D263" s="16" t="s">
        <v>19</v>
      </c>
      <c r="E263" s="16" t="s">
        <v>78</v>
      </c>
    </row>
    <row r="264" spans="1:5" x14ac:dyDescent="0.25">
      <c r="A264" s="15">
        <v>527880</v>
      </c>
      <c r="B264" s="16" t="s">
        <v>583</v>
      </c>
      <c r="C264" s="16" t="s">
        <v>584</v>
      </c>
      <c r="D264" s="16" t="s">
        <v>19</v>
      </c>
      <c r="E264" s="16" t="s">
        <v>78</v>
      </c>
    </row>
    <row r="265" spans="1:5" x14ac:dyDescent="0.25">
      <c r="A265" s="15">
        <v>527968</v>
      </c>
      <c r="B265" s="16" t="s">
        <v>585</v>
      </c>
      <c r="C265" s="16" t="s">
        <v>586</v>
      </c>
      <c r="D265" s="16" t="s">
        <v>19</v>
      </c>
      <c r="E265" s="16" t="s">
        <v>78</v>
      </c>
    </row>
    <row r="266" spans="1:5" x14ac:dyDescent="0.25">
      <c r="A266" s="15">
        <v>531653</v>
      </c>
      <c r="B266" s="16" t="s">
        <v>587</v>
      </c>
      <c r="C266" s="16" t="s">
        <v>588</v>
      </c>
      <c r="D266" s="16" t="s">
        <v>19</v>
      </c>
      <c r="E266" s="16" t="s">
        <v>78</v>
      </c>
    </row>
    <row r="267" spans="1:5" x14ac:dyDescent="0.25">
      <c r="A267" s="15">
        <v>531727</v>
      </c>
      <c r="B267" s="16" t="s">
        <v>589</v>
      </c>
      <c r="C267" s="16" t="s">
        <v>590</v>
      </c>
      <c r="D267" s="16" t="s">
        <v>22</v>
      </c>
      <c r="E267" s="16" t="s">
        <v>78</v>
      </c>
    </row>
    <row r="268" spans="1:5" x14ac:dyDescent="0.25">
      <c r="A268" s="15">
        <v>531560</v>
      </c>
      <c r="B268" s="16" t="s">
        <v>591</v>
      </c>
      <c r="C268" s="16" t="s">
        <v>592</v>
      </c>
      <c r="D268" s="16" t="s">
        <v>19</v>
      </c>
      <c r="E268" s="16" t="s">
        <v>78</v>
      </c>
    </row>
    <row r="269" spans="1:5" x14ac:dyDescent="0.25">
      <c r="A269" s="15">
        <v>521013</v>
      </c>
      <c r="B269" s="16" t="s">
        <v>593</v>
      </c>
      <c r="C269" s="16" t="s">
        <v>594</v>
      </c>
      <c r="D269" s="16" t="s">
        <v>12</v>
      </c>
      <c r="E269" s="16" t="s">
        <v>78</v>
      </c>
    </row>
    <row r="270" spans="1:5" x14ac:dyDescent="0.25">
      <c r="A270" s="15">
        <v>515547</v>
      </c>
      <c r="B270" s="16" t="s">
        <v>595</v>
      </c>
      <c r="C270" s="16" t="s">
        <v>596</v>
      </c>
      <c r="D270" s="16" t="s">
        <v>22</v>
      </c>
      <c r="E270" s="16" t="s">
        <v>78</v>
      </c>
    </row>
    <row r="271" spans="1:5" x14ac:dyDescent="0.25">
      <c r="A271" s="15">
        <v>531471</v>
      </c>
      <c r="B271" s="16" t="s">
        <v>597</v>
      </c>
      <c r="C271" s="16" t="s">
        <v>598</v>
      </c>
      <c r="D271" s="16" t="s">
        <v>19</v>
      </c>
      <c r="E271" s="16" t="s">
        <v>78</v>
      </c>
    </row>
    <row r="272" spans="1:5" x14ac:dyDescent="0.25">
      <c r="A272" s="15">
        <v>527916</v>
      </c>
      <c r="B272" s="16" t="s">
        <v>599</v>
      </c>
      <c r="C272" s="16" t="s">
        <v>600</v>
      </c>
      <c r="D272" s="16" t="s">
        <v>19</v>
      </c>
      <c r="E272" s="16" t="s">
        <v>78</v>
      </c>
    </row>
    <row r="273" spans="1:5" x14ac:dyDescent="0.25">
      <c r="A273" s="15">
        <v>531647</v>
      </c>
      <c r="B273" s="16" t="s">
        <v>601</v>
      </c>
      <c r="C273" s="16" t="s">
        <v>602</v>
      </c>
      <c r="D273" s="16" t="s">
        <v>19</v>
      </c>
      <c r="E273" s="16" t="s">
        <v>78</v>
      </c>
    </row>
    <row r="274" spans="1:5" x14ac:dyDescent="0.25">
      <c r="A274" s="15">
        <v>531668</v>
      </c>
      <c r="B274" s="16" t="s">
        <v>603</v>
      </c>
      <c r="C274" s="16" t="s">
        <v>604</v>
      </c>
      <c r="D274" s="16" t="s">
        <v>19</v>
      </c>
      <c r="E274" s="16" t="s">
        <v>78</v>
      </c>
    </row>
    <row r="275" spans="1:5" x14ac:dyDescent="0.25">
      <c r="A275" s="15">
        <v>531709</v>
      </c>
      <c r="B275" s="16" t="s">
        <v>605</v>
      </c>
      <c r="C275" s="16" t="s">
        <v>606</v>
      </c>
      <c r="D275" s="16" t="s">
        <v>22</v>
      </c>
      <c r="E275" s="16" t="s">
        <v>78</v>
      </c>
    </row>
    <row r="276" spans="1:5" x14ac:dyDescent="0.25">
      <c r="A276" s="15">
        <v>531434</v>
      </c>
      <c r="B276" s="16" t="s">
        <v>607</v>
      </c>
      <c r="C276" s="16" t="s">
        <v>608</v>
      </c>
      <c r="D276" s="16" t="s">
        <v>19</v>
      </c>
      <c r="E276" s="16" t="s">
        <v>78</v>
      </c>
    </row>
  </sheetData>
  <mergeCells count="1">
    <mergeCell ref="N1:O1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Sheet7</vt:lpstr>
      <vt:lpstr>Machine Swap Log</vt:lpstr>
      <vt:lpstr>Automatic ASM Sheet (SWAP)</vt:lpstr>
      <vt:lpstr>Manual ASM</vt:lpstr>
      <vt:lpstr>Ranges</vt:lpstr>
      <vt:lpstr>PC Inventory</vt:lpstr>
      <vt:lpstr>Holds</vt:lpstr>
      <vt:lpstr>Models</vt:lpstr>
      <vt:lpstr>Technicians</vt:lpstr>
    </vt:vector>
  </TitlesOfParts>
  <Company>SAP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Automatic Swap Sheet</dc:title>
  <dc:subject>Tracks and adjusts machine swaps, and creates a toe tag.</dc:subject>
  <dc:creator>Lopez, Dan-Joe</dc:creator>
  <cp:keywords>SAP; SWAP; machine</cp:keywords>
  <cp:lastModifiedBy>Lopez, Dan-Joe</cp:lastModifiedBy>
  <cp:lastPrinted>2014-08-28T19:01:42Z</cp:lastPrinted>
  <dcterms:created xsi:type="dcterms:W3CDTF">2014-01-06T17:38:05Z</dcterms:created>
  <dcterms:modified xsi:type="dcterms:W3CDTF">2014-08-28T19:12:51Z</dcterms:modified>
</cp:coreProperties>
</file>